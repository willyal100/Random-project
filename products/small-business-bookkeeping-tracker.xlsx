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oducts" sheetId="2" state="visible" r:id="rId4"/>
    <sheet name="Income" sheetId="3" state="visible" r:id="rId5"/>
    <sheet name="Expenses" sheetId="4" state="visible" r:id="rId6"/>
    <sheet name="Dashboard" sheetId="5" state="visible" r:id="rId7"/>
  </sheets>
  <definedNames>
    <definedName function="false" hidden="false" name="ProductList" vbProcedure="false">Products!$A$6:$A$25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<sst xmlns="http://schemas.openxmlformats.org/spreadsheetml/2006/main" count="94" uniqueCount="80">
  <si>
    <t xml:space="preserve">Small Business Bookkeeping Tracker</t>
  </si>
  <si>
    <t xml:space="preserve">Every sale, every expense, and your real profit — in one tidy file.</t>
  </si>
  <si>
    <t xml:space="preserve">Welcome!</t>
  </si>
  <si>
    <t xml:space="preserve">Built for sellers on Gumroad, Etsy, Shopify or anywhere else: log sales and expenses as they happen, and the dashboard shows monthly profit, fees, and your best-selling products automatically.</t>
  </si>
  <si>
    <t xml:space="preserve">1.  List your products</t>
  </si>
  <si>
    <t xml:space="preserve">On the Products tab, add what you sell. Product names become a dropdown on the Income tab.</t>
  </si>
  <si>
    <t xml:space="preserve">2.  Log every sale</t>
  </si>
  <si>
    <t xml:space="preserve">On Income: date, product, platform, gross amount, and platform fees. Net is calculated for you.</t>
  </si>
  <si>
    <t xml:space="preserve">3.  Log every expense</t>
  </si>
  <si>
    <t xml:space="preserve">On Expenses: date, category (dropdown), description, amount. Software, ads, supplies — all of it.</t>
  </si>
  <si>
    <t xml:space="preserve">4.  Read the Dashboard</t>
  </si>
  <si>
    <t xml:space="preserve">Revenue, expenses, profit and margin for the year, month by month, by platform, and by product.</t>
  </si>
  <si>
    <t xml:space="preserve">Color guide</t>
  </si>
  <si>
    <t xml:space="preserve">Light yellow cells = yours to fill in or change</t>
  </si>
  <si>
    <t xml:space="preserve">Grey / white cells = calculated automatically — no need to touch them</t>
  </si>
  <si>
    <t xml:space="preserve">Note: the file includes a few example rows so you can see how it works — delete them and add your own.</t>
  </si>
  <si>
    <t xml:space="preserve">Works in Microsoft Excel (2016 or newer) and Google Sheets (upload to Drive, then Open with Google Sheets).</t>
  </si>
  <si>
    <t xml:space="preserve">This is a bookkeeping aid, not tax or accounting advice.</t>
  </si>
  <si>
    <t xml:space="preserve">Products</t>
  </si>
  <si>
    <t xml:space="preserve">What you sell. Names here become the dropdown on the Income tab.</t>
  </si>
  <si>
    <t xml:space="preserve">Product / service</t>
  </si>
  <si>
    <t xml:space="preserve">Typical price</t>
  </si>
  <si>
    <t xml:space="preserve">Notes</t>
  </si>
  <si>
    <t xml:space="preserve">Budget Template</t>
  </si>
  <si>
    <t xml:space="preserve">Sold on Gumroad + Etsy</t>
  </si>
  <si>
    <t xml:space="preserve">Invoice Template Pack</t>
  </si>
  <si>
    <t xml:space="preserve">Income</t>
  </si>
  <si>
    <t xml:space="preserve">One row per sale. Net = gross minus fees, calculated for you.</t>
  </si>
  <si>
    <t xml:space="preserve">Type in every column except Net. Pick Product and Platform from the dropdowns.</t>
  </si>
  <si>
    <t xml:space="preserve">Date</t>
  </si>
  <si>
    <t xml:space="preserve">Platform</t>
  </si>
  <si>
    <t xml:space="preserve">Gross</t>
  </si>
  <si>
    <t xml:space="preserve">Fees</t>
  </si>
  <si>
    <t xml:space="preserve">Net</t>
  </si>
  <si>
    <t xml:space="preserve">Gumroad</t>
  </si>
  <si>
    <t xml:space="preserve">First sale!</t>
  </si>
  <si>
    <t xml:space="preserve">Etsy</t>
  </si>
  <si>
    <t xml:space="preserve">Etsy listing</t>
  </si>
  <si>
    <t xml:space="preserve">Direct</t>
  </si>
  <si>
    <t xml:space="preserve">Sold via email</t>
  </si>
  <si>
    <t xml:space="preserve">Expenses</t>
  </si>
  <si>
    <t xml:space="preserve">One row per business expense. The Dashboard reads this table.</t>
  </si>
  <si>
    <t xml:space="preserve">Every cell in this table is yours to type in. Pick the Category from the dropdown.</t>
  </si>
  <si>
    <t xml:space="preserve">Category</t>
  </si>
  <si>
    <t xml:space="preserve">Description</t>
  </si>
  <si>
    <t xml:space="preserve">Amount</t>
  </si>
  <si>
    <t xml:space="preserve">Software &amp; tools</t>
  </si>
  <si>
    <t xml:space="preserve">Canva Pro (monthly)</t>
  </si>
  <si>
    <t xml:space="preserve">Marketing &amp; ads</t>
  </si>
  <si>
    <t xml:space="preserve">Pinterest ads test</t>
  </si>
  <si>
    <t xml:space="preserve">Dashboard</t>
  </si>
  <si>
    <t xml:space="preserve">Profit at a glance. Everything updates automatically from Income and Expenses.</t>
  </si>
  <si>
    <t xml:space="preserve">Year</t>
  </si>
  <si>
    <t xml:space="preserve">REVENUE (NET)</t>
  </si>
  <si>
    <t xml:space="preserve">EXPENSES</t>
  </si>
  <si>
    <t xml:space="preserve">PROFIT</t>
  </si>
  <si>
    <t xml:space="preserve">PROFIT MARGIN</t>
  </si>
  <si>
    <t xml:space="preserve">Month by month</t>
  </si>
  <si>
    <t xml:space="preserve">By platform</t>
  </si>
  <si>
    <t xml:space="preserve">By product</t>
  </si>
  <si>
    <t xml:space="preserve">#</t>
  </si>
  <si>
    <t xml:space="preserve">Month</t>
  </si>
  <si>
    <t xml:space="preserve">Revenue</t>
  </si>
  <si>
    <t xml:space="preserve">Profit</t>
  </si>
  <si>
    <t xml:space="preserve">Net revenue</t>
  </si>
  <si>
    <t xml:space="preserve">Product</t>
  </si>
  <si>
    <t xml:space="preserve">January</t>
  </si>
  <si>
    <t xml:space="preserve">February</t>
  </si>
  <si>
    <t xml:space="preserve">March</t>
  </si>
  <si>
    <t xml:space="preserve">Shopify</t>
  </si>
  <si>
    <t xml:space="preserve">April</t>
  </si>
  <si>
    <t xml:space="preserve">May</t>
  </si>
  <si>
    <t xml:space="preserve">Other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</si>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</sst>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mm/dd/yyyy"/>
    <numFmt numFmtId="167" formatCode="\$#,##0"/>
    <numFmt numFmtId="168" formatCode="0.0%"/>
    <numFmt numFmtId="169" formatCode="\$#,##0;&quot;($&quot;#,##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5E7EB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6"/>
      <color rgb="FF6D5FC7"/>
      <name val="Arial"/>
      <family val="0"/>
      <charset val="1"/>
    </font>
    <font>
      <b val="true"/>
      <sz val="16"/>
      <color rgb="FFE36255"/>
      <name val="Arial"/>
      <family val="0"/>
      <charset val="1"/>
    </font>
    <font>
      <b val="true"/>
      <sz val="16"/>
      <color rgb="FF2F9E6E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F3D77"/>
        <bgColor rgb="FF1F2937"/>
      </patternFill>
    </fill>
    <fill>
      <patternFill patternType="solid">
        <fgColor rgb="FFFFF6DE"/>
        <bgColor rgb="FFF9FAFC"/>
      </patternFill>
    </fill>
    <fill>
      <patternFill patternType="solid">
        <fgColor rgb="FFF4F6FA"/>
        <bgColor rgb="FFF9FAFC"/>
      </patternFill>
    </fill>
    <fill>
      <patternFill patternType="solid">
        <fgColor rgb="FFF9FAFC"/>
        <bgColor rgb="FFF4F6FA"/>
      </patternFill>
    </fill>
    <fill>
      <patternFill patternType="solid">
        <fgColor rgb="FFFFFFFF"/>
        <bgColor rgb="FFF9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 diagonalUp="false" diagonalDown="false">
      <left style="thin">
        <color rgb="FFE3E8F0"/>
      </left>
      <right style="thin">
        <color rgb="FFE3E8F0"/>
      </right>
      <top style="thin">
        <color rgb="FFE3E8F0"/>
      </top>
      <bottom style="thin">
        <color rgb="FFE3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4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6DE"/>
      <rgbColor rgb="FFE3E8F0"/>
      <rgbColor rgb="FF660066"/>
      <rgbColor rgb="FFE36255"/>
      <rgbColor rgb="FF0066CC"/>
      <rgbColor rgb="FFD8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E5E7EB"/>
      <rgbColor rgb="FFF9FAFC"/>
      <rgbColor rgb="FF99CCFF"/>
      <rgbColor rgb="FFFF99CC"/>
      <rgbColor rgb="FFCC99FF"/>
      <rgbColor rgb="FFFFCC99"/>
      <rgbColor rgb="FF6D5FC7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2F9E6E"/>
      <rgbColor rgb="FF003300"/>
      <rgbColor rgb="FF333300"/>
      <rgbColor rgb="FF993300"/>
      <rgbColor rgb="FF993366"/>
      <rgbColor rgb="FF3F3D77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vs. expenses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d5fc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Dashboard!$C$12:$C$23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22.68</c:v>
                </c:pt>
                <c:pt idx="7">
                  <c:v>23.28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Dashboard!D11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3625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Dashboard!$D$12:$D$23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12.99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3091836"/>
        <c:axId val="18132272"/>
      </c:barChart>
      <c:catAx>
        <c:axId val="230918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32272"/>
        <c:crosses val="autoZero"/>
        <c:auto val="1"/>
        <c:lblAlgn val="ctr"/>
        <c:lblOffset val="100"/>
        <c:noMultiLvlLbl val="0"/>
      </c:catAx>
      <c:valAx>
        <c:axId val="181322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918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6</xdr:col>
      <xdr:colOff>692280</xdr:colOff>
      <xdr:row>40</xdr:row>
      <xdr:rowOff>93960</xdr:rowOff>
    </xdr:to>
    <xdr:graphicFrame>
      <xdr:nvGraphicFramePr>
        <xdr:cNvPr id="0" name="Chart 1"/>
        <xdr:cNvGraphicFramePr/>
      </xdr:nvGraphicFramePr>
      <xdr:xfrm>
        <a:off x="355680" y="5133960"/>
        <a:ext cx="575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5FC7"/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8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6.15" hidden="false" customHeight="false" outlineLevel="0" collapsed="false">
      <c r="B4" s="3" t="s">
        <v>2</v>
      </c>
    </row>
    <row r="5" customFormat="false" ht="15" hidden="false" customHeight="true" outlineLevel="0" collapsed="false">
      <c r="B5" s="4" t="s">
        <v>3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B8" s="5" t="s">
        <v>4</v>
      </c>
    </row>
    <row r="9" customFormat="false" ht="27.75" hidden="false" customHeight="true" outlineLevel="0" collapsed="false">
      <c r="C9" s="4" t="s">
        <v>5</v>
      </c>
      <c r="D9" s="4"/>
      <c r="E9" s="4"/>
      <c r="F9" s="4"/>
      <c r="G9" s="4"/>
      <c r="H9" s="4"/>
    </row>
    <row r="11" customFormat="false" ht="15" hidden="false" customHeight="false" outlineLevel="0" collapsed="false">
      <c r="B11" s="5" t="s">
        <v>6</v>
      </c>
    </row>
    <row r="12" customFormat="false" ht="27.75" hidden="false" customHeight="true" outlineLevel="0" collapsed="false">
      <c r="C12" s="4" t="s">
        <v>7</v>
      </c>
      <c r="D12" s="4"/>
      <c r="E12" s="4"/>
      <c r="F12" s="4"/>
      <c r="G12" s="4"/>
      <c r="H12" s="4"/>
    </row>
    <row r="14" customFormat="false" ht="15" hidden="false" customHeight="false" outlineLevel="0" collapsed="false">
      <c r="B14" s="5" t="s">
        <v>8</v>
      </c>
    </row>
    <row r="15" customFormat="false" ht="27.75" hidden="false" customHeight="true" outlineLevel="0" collapsed="false">
      <c r="C15" s="4" t="s">
        <v>9</v>
      </c>
      <c r="D15" s="4"/>
      <c r="E15" s="4"/>
      <c r="F15" s="4"/>
      <c r="G15" s="4"/>
      <c r="H15" s="4"/>
    </row>
    <row r="17" customFormat="false" ht="15" hidden="false" customHeight="false" outlineLevel="0" collapsed="false">
      <c r="B17" s="5" t="s">
        <v>10</v>
      </c>
    </row>
    <row r="18" customFormat="false" ht="27.75" hidden="false" customHeight="true" outlineLevel="0" collapsed="false">
      <c r="C18" s="4" t="s">
        <v>11</v>
      </c>
      <c r="D18" s="4"/>
      <c r="E18" s="4"/>
      <c r="F18" s="4"/>
      <c r="G18" s="4"/>
      <c r="H18" s="4"/>
    </row>
    <row r="20" customFormat="false" ht="15" hidden="false" customHeight="false" outlineLevel="0" collapsed="false">
      <c r="B20" s="5" t="s">
        <v>12</v>
      </c>
    </row>
    <row r="21" customFormat="false" ht="15" hidden="false" customHeight="false" outlineLevel="0" collapsed="false">
      <c r="B21" s="6"/>
      <c r="C21" s="7" t="s">
        <v>13</v>
      </c>
    </row>
    <row r="22" customFormat="false" ht="15" hidden="false" customHeight="false" outlineLevel="0" collapsed="false">
      <c r="B22" s="8"/>
      <c r="C22" s="7" t="s">
        <v>14</v>
      </c>
    </row>
    <row r="24" customFormat="false" ht="15" hidden="false" customHeight="false" outlineLevel="0" collapsed="false">
      <c r="B24" s="9" t="s">
        <v>15</v>
      </c>
    </row>
    <row r="25" customFormat="false" ht="15" hidden="false" customHeight="false" outlineLevel="0" collapsed="false">
      <c r="B25" s="9" t="s">
        <v>16</v>
      </c>
    </row>
    <row r="26" customFormat="false" ht="15" hidden="false" customHeight="false" outlineLevel="0" collapsed="false">
      <c r="B26" s="10" t="s">
        <v>17</v>
      </c>
    </row>
  </sheetData>
  <mergeCells count="7">
    <mergeCell ref="A1:H1"/>
    <mergeCell ref="A2:H2"/>
    <mergeCell ref="B5:H6"/>
    <mergeCell ref="C9:H9"/>
    <mergeCell ref="C12:H12"/>
    <mergeCell ref="C15:H15"/>
    <mergeCell ref="C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D77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1" t="s">
        <v>18</v>
      </c>
      <c r="B1" s="1"/>
      <c r="C1" s="1"/>
      <c r="D1" s="1"/>
    </row>
    <row r="2" customFormat="false" ht="15.75" hidden="false" customHeight="true" outlineLevel="0" collapsed="false">
      <c r="A2" s="2" t="s">
        <v>19</v>
      </c>
      <c r="B2" s="2"/>
      <c r="C2" s="2"/>
      <c r="D2" s="2"/>
    </row>
    <row r="5" customFormat="false" ht="19.5" hidden="false" customHeight="true" outlineLevel="0" collapsed="false">
      <c r="A5" s="11" t="s">
        <v>20</v>
      </c>
      <c r="B5" s="11" t="s">
        <v>21</v>
      </c>
      <c r="C5" s="11" t="s">
        <v>22</v>
      </c>
    </row>
    <row r="6" customFormat="false" ht="15" hidden="false" customHeight="false" outlineLevel="0" collapsed="false">
      <c r="A6" s="12" t="s">
        <v>23</v>
      </c>
      <c r="B6" s="13" t="n">
        <v>12</v>
      </c>
      <c r="C6" s="12" t="s">
        <v>24</v>
      </c>
    </row>
    <row r="7" customFormat="false" ht="15" hidden="false" customHeight="false" outlineLevel="0" collapsed="false">
      <c r="A7" s="12" t="s">
        <v>25</v>
      </c>
      <c r="B7" s="13" t="n">
        <v>14</v>
      </c>
      <c r="C7" s="12"/>
    </row>
    <row r="8" customFormat="false" ht="15" hidden="false" customHeight="false" outlineLevel="0" collapsed="false">
      <c r="A8" s="12"/>
      <c r="B8" s="13"/>
      <c r="C8" s="12"/>
    </row>
    <row r="9" customFormat="false" ht="15" hidden="false" customHeight="false" outlineLevel="0" collapsed="false">
      <c r="A9" s="12"/>
      <c r="B9" s="13"/>
      <c r="C9" s="12"/>
    </row>
    <row r="10" customFormat="false" ht="15" hidden="false" customHeight="false" outlineLevel="0" collapsed="false">
      <c r="A10" s="12"/>
      <c r="B10" s="13"/>
      <c r="C10" s="12"/>
    </row>
    <row r="11" customFormat="false" ht="15" hidden="false" customHeight="false" outlineLevel="0" collapsed="false">
      <c r="A11" s="12"/>
      <c r="B11" s="13"/>
      <c r="C11" s="12"/>
    </row>
    <row r="12" customFormat="false" ht="15" hidden="false" customHeight="false" outlineLevel="0" collapsed="false">
      <c r="A12" s="12"/>
      <c r="B12" s="13"/>
      <c r="C12" s="12"/>
    </row>
    <row r="13" customFormat="false" ht="15" hidden="false" customHeight="false" outlineLevel="0" collapsed="false">
      <c r="A13" s="12"/>
      <c r="B13" s="13"/>
      <c r="C13" s="12"/>
    </row>
    <row r="14" customFormat="false" ht="15" hidden="false" customHeight="false" outlineLevel="0" collapsed="false">
      <c r="A14" s="12"/>
      <c r="B14" s="13"/>
      <c r="C14" s="12"/>
    </row>
    <row r="15" customFormat="false" ht="15" hidden="false" customHeight="false" outlineLevel="0" collapsed="false">
      <c r="A15" s="12"/>
      <c r="B15" s="13"/>
      <c r="C15" s="12"/>
    </row>
    <row r="16" customFormat="false" ht="15" hidden="false" customHeight="false" outlineLevel="0" collapsed="false">
      <c r="A16" s="12"/>
      <c r="B16" s="13"/>
      <c r="C16" s="12"/>
    </row>
    <row r="17" customFormat="false" ht="15" hidden="false" customHeight="false" outlineLevel="0" collapsed="false">
      <c r="A17" s="12"/>
      <c r="B17" s="13"/>
      <c r="C17" s="12"/>
    </row>
    <row r="18" customFormat="false" ht="15" hidden="false" customHeight="false" outlineLevel="0" collapsed="false">
      <c r="A18" s="12"/>
      <c r="B18" s="13"/>
      <c r="C18" s="12"/>
    </row>
    <row r="19" customFormat="false" ht="15" hidden="false" customHeight="false" outlineLevel="0" collapsed="false">
      <c r="A19" s="12"/>
      <c r="B19" s="13"/>
      <c r="C19" s="12"/>
    </row>
    <row r="20" customFormat="false" ht="15" hidden="false" customHeight="false" outlineLevel="0" collapsed="false">
      <c r="A20" s="12"/>
      <c r="B20" s="13"/>
      <c r="C20" s="12"/>
    </row>
    <row r="21" customFormat="false" ht="15" hidden="false" customHeight="false" outlineLevel="0" collapsed="false">
      <c r="A21" s="12"/>
      <c r="B21" s="13"/>
      <c r="C21" s="12"/>
    </row>
    <row r="22" customFormat="false" ht="15" hidden="false" customHeight="false" outlineLevel="0" collapsed="false">
      <c r="A22" s="12"/>
      <c r="B22" s="13"/>
      <c r="C22" s="12"/>
    </row>
    <row r="23" customFormat="false" ht="15" hidden="false" customHeight="false" outlineLevel="0" collapsed="false">
      <c r="A23" s="12"/>
      <c r="B23" s="13"/>
      <c r="C23" s="12"/>
    </row>
    <row r="24" customFormat="false" ht="15" hidden="false" customHeight="false" outlineLevel="0" collapsed="false">
      <c r="A24" s="12"/>
      <c r="B24" s="13"/>
      <c r="C24" s="12"/>
    </row>
    <row r="25" customFormat="false" ht="15" hidden="false" customHeight="false" outlineLevel="0" collapsed="false">
      <c r="A25" s="12"/>
      <c r="B25" s="13"/>
      <c r="C25" s="12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D77"/>
    <pageSetUpPr fitToPage="false"/>
  </sheetPr>
  <dimension ref="A1:G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6" min="4" style="0" width="12"/>
    <col collapsed="false" customWidth="true" hidden="false" outlineLevel="0" max="7" min="7" style="0" width="28"/>
  </cols>
  <sheetData>
    <row r="1" customFormat="false" ht="25.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0" t="s">
        <v>28</v>
      </c>
    </row>
    <row r="5" customFormat="false" ht="19.5" hidden="false" customHeight="true" outlineLevel="0" collapsed="false">
      <c r="A5" s="11" t="s">
        <v>29</v>
      </c>
      <c r="B5" s="11" t="s">
        <v>20</v>
      </c>
      <c r="C5" s="11" t="s">
        <v>30</v>
      </c>
      <c r="D5" s="11" t="s">
        <v>31</v>
      </c>
      <c r="E5" s="11" t="s">
        <v>32</v>
      </c>
      <c r="F5" s="11" t="s">
        <v>33</v>
      </c>
      <c r="G5" s="11" t="s">
        <v>22</v>
      </c>
    </row>
    <row r="6" customFormat="false" ht="15" hidden="false" customHeight="false" outlineLevel="0" collapsed="false">
      <c r="A6" s="14" t="n">
        <v>46217</v>
      </c>
      <c r="B6" s="15" t="s">
        <v>23</v>
      </c>
      <c r="C6" s="15" t="s">
        <v>34</v>
      </c>
      <c r="D6" s="16" t="n">
        <v>12</v>
      </c>
      <c r="E6" s="16" t="n">
        <v>1.55</v>
      </c>
      <c r="F6" s="17" t="n">
        <f aca="false">IF($D6="","",ROUND($D6-IF($E6="",0,$E6),2))</f>
        <v>10.45</v>
      </c>
      <c r="G6" s="15" t="s">
        <v>35</v>
      </c>
    </row>
    <row r="7" customFormat="false" ht="15" hidden="false" customHeight="false" outlineLevel="0" collapsed="false">
      <c r="A7" s="18" t="n">
        <v>46231</v>
      </c>
      <c r="B7" s="19" t="s">
        <v>25</v>
      </c>
      <c r="C7" s="19" t="s">
        <v>34</v>
      </c>
      <c r="D7" s="20" t="n">
        <v>14</v>
      </c>
      <c r="E7" s="20" t="n">
        <v>1.77</v>
      </c>
      <c r="F7" s="17" t="n">
        <f aca="false">IF($D7="","",ROUND($D7-IF($E7="",0,$E7),2))</f>
        <v>12.23</v>
      </c>
      <c r="G7" s="19"/>
    </row>
    <row r="8" customFormat="false" ht="15" hidden="false" customHeight="false" outlineLevel="0" collapsed="false">
      <c r="A8" s="14" t="n">
        <v>46236</v>
      </c>
      <c r="B8" s="15" t="s">
        <v>23</v>
      </c>
      <c r="C8" s="15" t="s">
        <v>36</v>
      </c>
      <c r="D8" s="16" t="n">
        <v>12</v>
      </c>
      <c r="E8" s="16" t="n">
        <v>2.72</v>
      </c>
      <c r="F8" s="17" t="n">
        <f aca="false">IF($D8="","",ROUND($D8-IF($E8="",0,$E8),2))</f>
        <v>9.28</v>
      </c>
      <c r="G8" s="15" t="s">
        <v>37</v>
      </c>
    </row>
    <row r="9" customFormat="false" ht="15" hidden="false" customHeight="false" outlineLevel="0" collapsed="false">
      <c r="A9" s="18" t="n">
        <v>46243</v>
      </c>
      <c r="B9" s="19" t="s">
        <v>25</v>
      </c>
      <c r="C9" s="19" t="s">
        <v>38</v>
      </c>
      <c r="D9" s="20" t="n">
        <v>14</v>
      </c>
      <c r="E9" s="20"/>
      <c r="F9" s="17" t="n">
        <f aca="false">IF($D9="","",ROUND($D9-IF($E9="",0,$E9),2))</f>
        <v>14</v>
      </c>
      <c r="G9" s="19" t="s">
        <v>39</v>
      </c>
    </row>
    <row r="10" customFormat="false" ht="15" hidden="false" customHeight="false" outlineLevel="0" collapsed="false">
      <c r="A10" s="14"/>
      <c r="B10" s="15"/>
      <c r="C10" s="15"/>
      <c r="D10" s="16"/>
      <c r="E10" s="16"/>
      <c r="F10" s="17" t="str">
        <f aca="false">IF($D10="","",ROUND($D10-IF($E10="",0,$E10),2))</f>
        <v/>
      </c>
      <c r="G10" s="15"/>
    </row>
    <row r="11" customFormat="false" ht="15" hidden="false" customHeight="false" outlineLevel="0" collapsed="false">
      <c r="A11" s="18"/>
      <c r="B11" s="19"/>
      <c r="C11" s="19"/>
      <c r="D11" s="20"/>
      <c r="E11" s="20"/>
      <c r="F11" s="17" t="str">
        <f aca="false">IF($D11="","",ROUND($D11-IF($E11="",0,$E11),2))</f>
        <v/>
      </c>
      <c r="G11" s="19"/>
    </row>
    <row r="12" customFormat="false" ht="15" hidden="false" customHeight="false" outlineLevel="0" collapsed="false">
      <c r="A12" s="14"/>
      <c r="B12" s="15"/>
      <c r="C12" s="15"/>
      <c r="D12" s="16"/>
      <c r="E12" s="16"/>
      <c r="F12" s="17" t="str">
        <f aca="false">IF($D12="","",ROUND($D12-IF($E12="",0,$E12),2))</f>
        <v/>
      </c>
      <c r="G12" s="15"/>
    </row>
    <row r="13" customFormat="false" ht="15" hidden="false" customHeight="false" outlineLevel="0" collapsed="false">
      <c r="A13" s="18"/>
      <c r="B13" s="19"/>
      <c r="C13" s="19"/>
      <c r="D13" s="20"/>
      <c r="E13" s="20"/>
      <c r="F13" s="17" t="str">
        <f aca="false">IF($D13="","",ROUND($D13-IF($E13="",0,$E13),2))</f>
        <v/>
      </c>
      <c r="G13" s="19"/>
    </row>
    <row r="14" customFormat="false" ht="15" hidden="false" customHeight="false" outlineLevel="0" collapsed="false">
      <c r="A14" s="14"/>
      <c r="B14" s="15"/>
      <c r="C14" s="15"/>
      <c r="D14" s="16"/>
      <c r="E14" s="16"/>
      <c r="F14" s="17" t="str">
        <f aca="false">IF($D14="","",ROUND($D14-IF($E14="",0,$E14),2))</f>
        <v/>
      </c>
      <c r="G14" s="15"/>
    </row>
    <row r="15" customFormat="false" ht="15" hidden="false" customHeight="false" outlineLevel="0" collapsed="false">
      <c r="A15" s="18"/>
      <c r="B15" s="19"/>
      <c r="C15" s="19"/>
      <c r="D15" s="20"/>
      <c r="E15" s="20"/>
      <c r="F15" s="17" t="str">
        <f aca="false">IF($D15="","",ROUND($D15-IF($E15="",0,$E15),2))</f>
        <v/>
      </c>
      <c r="G15" s="19"/>
    </row>
    <row r="16" customFormat="false" ht="15" hidden="false" customHeight="false" outlineLevel="0" collapsed="false">
      <c r="A16" s="14"/>
      <c r="B16" s="15"/>
      <c r="C16" s="15"/>
      <c r="D16" s="16"/>
      <c r="E16" s="16"/>
      <c r="F16" s="17" t="str">
        <f aca="false">IF($D16="","",ROUND($D16-IF($E16="",0,$E16),2))</f>
        <v/>
      </c>
      <c r="G16" s="15"/>
    </row>
    <row r="17" customFormat="false" ht="15" hidden="false" customHeight="false" outlineLevel="0" collapsed="false">
      <c r="A17" s="18"/>
      <c r="B17" s="19"/>
      <c r="C17" s="19"/>
      <c r="D17" s="20"/>
      <c r="E17" s="20"/>
      <c r="F17" s="17" t="str">
        <f aca="false">IF($D17="","",ROUND($D17-IF($E17="",0,$E17),2))</f>
        <v/>
      </c>
      <c r="G17" s="19"/>
    </row>
    <row r="18" customFormat="false" ht="15" hidden="false" customHeight="false" outlineLevel="0" collapsed="false">
      <c r="A18" s="14"/>
      <c r="B18" s="15"/>
      <c r="C18" s="15"/>
      <c r="D18" s="16"/>
      <c r="E18" s="16"/>
      <c r="F18" s="17" t="str">
        <f aca="false">IF($D18="","",ROUND($D18-IF($E18="",0,$E18),2))</f>
        <v/>
      </c>
      <c r="G18" s="15"/>
    </row>
    <row r="19" customFormat="false" ht="15" hidden="false" customHeight="false" outlineLevel="0" collapsed="false">
      <c r="A19" s="18"/>
      <c r="B19" s="19"/>
      <c r="C19" s="19"/>
      <c r="D19" s="20"/>
      <c r="E19" s="20"/>
      <c r="F19" s="17" t="str">
        <f aca="false">IF($D19="","",ROUND($D19-IF($E19="",0,$E19),2))</f>
        <v/>
      </c>
      <c r="G19" s="19"/>
    </row>
    <row r="20" customFormat="false" ht="15" hidden="false" customHeight="false" outlineLevel="0" collapsed="false">
      <c r="A20" s="14"/>
      <c r="B20" s="15"/>
      <c r="C20" s="15"/>
      <c r="D20" s="16"/>
      <c r="E20" s="16"/>
      <c r="F20" s="17" t="str">
        <f aca="false">IF($D20="","",ROUND($D20-IF($E20="",0,$E20),2))</f>
        <v/>
      </c>
      <c r="G20" s="15"/>
    </row>
    <row r="21" customFormat="false" ht="15" hidden="false" customHeight="false" outlineLevel="0" collapsed="false">
      <c r="A21" s="18"/>
      <c r="B21" s="19"/>
      <c r="C21" s="19"/>
      <c r="D21" s="20"/>
      <c r="E21" s="20"/>
      <c r="F21" s="17" t="str">
        <f aca="false">IF($D21="","",ROUND($D21-IF($E21="",0,$E21),2))</f>
        <v/>
      </c>
      <c r="G21" s="19"/>
    </row>
    <row r="22" customFormat="false" ht="15" hidden="false" customHeight="false" outlineLevel="0" collapsed="false">
      <c r="A22" s="14"/>
      <c r="B22" s="15"/>
      <c r="C22" s="15"/>
      <c r="D22" s="16"/>
      <c r="E22" s="16"/>
      <c r="F22" s="17" t="str">
        <f aca="false">IF($D22="","",ROUND($D22-IF($E22="",0,$E22),2))</f>
        <v/>
      </c>
      <c r="G22" s="15"/>
    </row>
    <row r="23" customFormat="false" ht="15" hidden="false" customHeight="false" outlineLevel="0" collapsed="false">
      <c r="A23" s="18"/>
      <c r="B23" s="19"/>
      <c r="C23" s="19"/>
      <c r="D23" s="20"/>
      <c r="E23" s="20"/>
      <c r="F23" s="17" t="str">
        <f aca="false">IF($D23="","",ROUND($D23-IF($E23="",0,$E23),2))</f>
        <v/>
      </c>
      <c r="G23" s="19"/>
    </row>
    <row r="24" customFormat="false" ht="15" hidden="false" customHeight="false" outlineLevel="0" collapsed="false">
      <c r="A24" s="14"/>
      <c r="B24" s="15"/>
      <c r="C24" s="15"/>
      <c r="D24" s="16"/>
      <c r="E24" s="16"/>
      <c r="F24" s="17" t="str">
        <f aca="false">IF($D24="","",ROUND($D24-IF($E24="",0,$E24),2))</f>
        <v/>
      </c>
      <c r="G24" s="15"/>
    </row>
    <row r="25" customFormat="false" ht="15" hidden="false" customHeight="false" outlineLevel="0" collapsed="false">
      <c r="A25" s="18"/>
      <c r="B25" s="19"/>
      <c r="C25" s="19"/>
      <c r="D25" s="20"/>
      <c r="E25" s="20"/>
      <c r="F25" s="17" t="str">
        <f aca="false">IF($D25="","",ROUND($D25-IF($E25="",0,$E25),2))</f>
        <v/>
      </c>
      <c r="G25" s="19"/>
    </row>
    <row r="26" customFormat="false" ht="15" hidden="false" customHeight="false" outlineLevel="0" collapsed="false">
      <c r="A26" s="14"/>
      <c r="B26" s="15"/>
      <c r="C26" s="15"/>
      <c r="D26" s="16"/>
      <c r="E26" s="16"/>
      <c r="F26" s="17" t="str">
        <f aca="false">IF($D26="","",ROUND($D26-IF($E26="",0,$E26),2))</f>
        <v/>
      </c>
      <c r="G26" s="15"/>
    </row>
    <row r="27" customFormat="false" ht="15" hidden="false" customHeight="false" outlineLevel="0" collapsed="false">
      <c r="A27" s="18"/>
      <c r="B27" s="19"/>
      <c r="C27" s="19"/>
      <c r="D27" s="20"/>
      <c r="E27" s="20"/>
      <c r="F27" s="17" t="str">
        <f aca="false">IF($D27="","",ROUND($D27-IF($E27="",0,$E27),2))</f>
        <v/>
      </c>
      <c r="G27" s="19"/>
    </row>
    <row r="28" customFormat="false" ht="15" hidden="false" customHeight="false" outlineLevel="0" collapsed="false">
      <c r="A28" s="14"/>
      <c r="B28" s="15"/>
      <c r="C28" s="15"/>
      <c r="D28" s="16"/>
      <c r="E28" s="16"/>
      <c r="F28" s="17" t="str">
        <f aca="false">IF($D28="","",ROUND($D28-IF($E28="",0,$E28),2))</f>
        <v/>
      </c>
      <c r="G28" s="15"/>
    </row>
    <row r="29" customFormat="false" ht="15" hidden="false" customHeight="false" outlineLevel="0" collapsed="false">
      <c r="A29" s="18"/>
      <c r="B29" s="19"/>
      <c r="C29" s="19"/>
      <c r="D29" s="20"/>
      <c r="E29" s="20"/>
      <c r="F29" s="17" t="str">
        <f aca="false">IF($D29="","",ROUND($D29-IF($E29="",0,$E29),2))</f>
        <v/>
      </c>
      <c r="G29" s="19"/>
    </row>
    <row r="30" customFormat="false" ht="15" hidden="false" customHeight="false" outlineLevel="0" collapsed="false">
      <c r="A30" s="14"/>
      <c r="B30" s="15"/>
      <c r="C30" s="15"/>
      <c r="D30" s="16"/>
      <c r="E30" s="16"/>
      <c r="F30" s="17" t="str">
        <f aca="false">IF($D30="","",ROUND($D30-IF($E30="",0,$E30),2))</f>
        <v/>
      </c>
      <c r="G30" s="15"/>
    </row>
    <row r="31" customFormat="false" ht="15" hidden="false" customHeight="false" outlineLevel="0" collapsed="false">
      <c r="A31" s="18"/>
      <c r="B31" s="19"/>
      <c r="C31" s="19"/>
      <c r="D31" s="20"/>
      <c r="E31" s="20"/>
      <c r="F31" s="17" t="str">
        <f aca="false">IF($D31="","",ROUND($D31-IF($E31="",0,$E31),2))</f>
        <v/>
      </c>
      <c r="G31" s="19"/>
    </row>
    <row r="32" customFormat="false" ht="15" hidden="false" customHeight="false" outlineLevel="0" collapsed="false">
      <c r="A32" s="14"/>
      <c r="B32" s="15"/>
      <c r="C32" s="15"/>
      <c r="D32" s="16"/>
      <c r="E32" s="16"/>
      <c r="F32" s="17" t="str">
        <f aca="false">IF($D32="","",ROUND($D32-IF($E32="",0,$E32),2))</f>
        <v/>
      </c>
      <c r="G32" s="15"/>
    </row>
    <row r="33" customFormat="false" ht="15" hidden="false" customHeight="false" outlineLevel="0" collapsed="false">
      <c r="A33" s="18"/>
      <c r="B33" s="19"/>
      <c r="C33" s="19"/>
      <c r="D33" s="20"/>
      <c r="E33" s="20"/>
      <c r="F33" s="17" t="str">
        <f aca="false">IF($D33="","",ROUND($D33-IF($E33="",0,$E33),2))</f>
        <v/>
      </c>
      <c r="G33" s="19"/>
    </row>
    <row r="34" customFormat="false" ht="15" hidden="false" customHeight="false" outlineLevel="0" collapsed="false">
      <c r="A34" s="14"/>
      <c r="B34" s="15"/>
      <c r="C34" s="15"/>
      <c r="D34" s="16"/>
      <c r="E34" s="16"/>
      <c r="F34" s="17" t="str">
        <f aca="false">IF($D34="","",ROUND($D34-IF($E34="",0,$E34),2))</f>
        <v/>
      </c>
      <c r="G34" s="15"/>
    </row>
    <row r="35" customFormat="false" ht="15" hidden="false" customHeight="false" outlineLevel="0" collapsed="false">
      <c r="A35" s="18"/>
      <c r="B35" s="19"/>
      <c r="C35" s="19"/>
      <c r="D35" s="20"/>
      <c r="E35" s="20"/>
      <c r="F35" s="17" t="str">
        <f aca="false">IF($D35="","",ROUND($D35-IF($E35="",0,$E35),2))</f>
        <v/>
      </c>
      <c r="G35" s="19"/>
    </row>
    <row r="36" customFormat="false" ht="15" hidden="false" customHeight="false" outlineLevel="0" collapsed="false">
      <c r="A36" s="14"/>
      <c r="B36" s="15"/>
      <c r="C36" s="15"/>
      <c r="D36" s="16"/>
      <c r="E36" s="16"/>
      <c r="F36" s="17" t="str">
        <f aca="false">IF($D36="","",ROUND($D36-IF($E36="",0,$E36),2))</f>
        <v/>
      </c>
      <c r="G36" s="15"/>
    </row>
    <row r="37" customFormat="false" ht="15" hidden="false" customHeight="false" outlineLevel="0" collapsed="false">
      <c r="A37" s="18"/>
      <c r="B37" s="19"/>
      <c r="C37" s="19"/>
      <c r="D37" s="20"/>
      <c r="E37" s="20"/>
      <c r="F37" s="17" t="str">
        <f aca="false">IF($D37="","",ROUND($D37-IF($E37="",0,$E37),2))</f>
        <v/>
      </c>
      <c r="G37" s="19"/>
    </row>
    <row r="38" customFormat="false" ht="15" hidden="false" customHeight="false" outlineLevel="0" collapsed="false">
      <c r="A38" s="14"/>
      <c r="B38" s="15"/>
      <c r="C38" s="15"/>
      <c r="D38" s="16"/>
      <c r="E38" s="16"/>
      <c r="F38" s="17" t="str">
        <f aca="false">IF($D38="","",ROUND($D38-IF($E38="",0,$E38),2))</f>
        <v/>
      </c>
      <c r="G38" s="15"/>
    </row>
    <row r="39" customFormat="false" ht="15" hidden="false" customHeight="false" outlineLevel="0" collapsed="false">
      <c r="A39" s="18"/>
      <c r="B39" s="19"/>
      <c r="C39" s="19"/>
      <c r="D39" s="20"/>
      <c r="E39" s="20"/>
      <c r="F39" s="17" t="str">
        <f aca="false">IF($D39="","",ROUND($D39-IF($E39="",0,$E39),2))</f>
        <v/>
      </c>
      <c r="G39" s="19"/>
    </row>
    <row r="40" customFormat="false" ht="15" hidden="false" customHeight="false" outlineLevel="0" collapsed="false">
      <c r="A40" s="14"/>
      <c r="B40" s="15"/>
      <c r="C40" s="15"/>
      <c r="D40" s="16"/>
      <c r="E40" s="16"/>
      <c r="F40" s="17" t="str">
        <f aca="false">IF($D40="","",ROUND($D40-IF($E40="",0,$E40),2))</f>
        <v/>
      </c>
      <c r="G40" s="15"/>
    </row>
    <row r="41" customFormat="false" ht="15" hidden="false" customHeight="false" outlineLevel="0" collapsed="false">
      <c r="A41" s="18"/>
      <c r="B41" s="19"/>
      <c r="C41" s="19"/>
      <c r="D41" s="20"/>
      <c r="E41" s="20"/>
      <c r="F41" s="17" t="str">
        <f aca="false">IF($D41="","",ROUND($D41-IF($E41="",0,$E41),2))</f>
        <v/>
      </c>
      <c r="G41" s="19"/>
    </row>
    <row r="42" customFormat="false" ht="15" hidden="false" customHeight="false" outlineLevel="0" collapsed="false">
      <c r="A42" s="14"/>
      <c r="B42" s="15"/>
      <c r="C42" s="15"/>
      <c r="D42" s="16"/>
      <c r="E42" s="16"/>
      <c r="F42" s="17" t="str">
        <f aca="false">IF($D42="","",ROUND($D42-IF($E42="",0,$E42),2))</f>
        <v/>
      </c>
      <c r="G42" s="15"/>
    </row>
    <row r="43" customFormat="false" ht="15" hidden="false" customHeight="false" outlineLevel="0" collapsed="false">
      <c r="A43" s="18"/>
      <c r="B43" s="19"/>
      <c r="C43" s="19"/>
      <c r="D43" s="20"/>
      <c r="E43" s="20"/>
      <c r="F43" s="17" t="str">
        <f aca="false">IF($D43="","",ROUND($D43-IF($E43="",0,$E43),2))</f>
        <v/>
      </c>
      <c r="G43" s="19"/>
    </row>
    <row r="44" customFormat="false" ht="15" hidden="false" customHeight="false" outlineLevel="0" collapsed="false">
      <c r="A44" s="14"/>
      <c r="B44" s="15"/>
      <c r="C44" s="15"/>
      <c r="D44" s="16"/>
      <c r="E44" s="16"/>
      <c r="F44" s="17" t="str">
        <f aca="false">IF($D44="","",ROUND($D44-IF($E44="",0,$E44),2))</f>
        <v/>
      </c>
      <c r="G44" s="15"/>
    </row>
    <row r="45" customFormat="false" ht="15" hidden="false" customHeight="false" outlineLevel="0" collapsed="false">
      <c r="A45" s="18"/>
      <c r="B45" s="19"/>
      <c r="C45" s="19"/>
      <c r="D45" s="20"/>
      <c r="E45" s="20"/>
      <c r="F45" s="17" t="str">
        <f aca="false">IF($D45="","",ROUND($D45-IF($E45="",0,$E45),2))</f>
        <v/>
      </c>
      <c r="G45" s="19"/>
    </row>
    <row r="46" customFormat="false" ht="15" hidden="false" customHeight="false" outlineLevel="0" collapsed="false">
      <c r="A46" s="14"/>
      <c r="B46" s="15"/>
      <c r="C46" s="15"/>
      <c r="D46" s="16"/>
      <c r="E46" s="16"/>
      <c r="F46" s="17" t="str">
        <f aca="false">IF($D46="","",ROUND($D46-IF($E46="",0,$E46),2))</f>
        <v/>
      </c>
      <c r="G46" s="15"/>
    </row>
    <row r="47" customFormat="false" ht="15" hidden="false" customHeight="false" outlineLevel="0" collapsed="false">
      <c r="A47" s="18"/>
      <c r="B47" s="19"/>
      <c r="C47" s="19"/>
      <c r="D47" s="20"/>
      <c r="E47" s="20"/>
      <c r="F47" s="17" t="str">
        <f aca="false">IF($D47="","",ROUND($D47-IF($E47="",0,$E47),2))</f>
        <v/>
      </c>
      <c r="G47" s="19"/>
    </row>
    <row r="48" customFormat="false" ht="15" hidden="false" customHeight="false" outlineLevel="0" collapsed="false">
      <c r="A48" s="14"/>
      <c r="B48" s="15"/>
      <c r="C48" s="15"/>
      <c r="D48" s="16"/>
      <c r="E48" s="16"/>
      <c r="F48" s="17" t="str">
        <f aca="false">IF($D48="","",ROUND($D48-IF($E48="",0,$E48),2))</f>
        <v/>
      </c>
      <c r="G48" s="15"/>
    </row>
    <row r="49" customFormat="false" ht="15" hidden="false" customHeight="false" outlineLevel="0" collapsed="false">
      <c r="A49" s="18"/>
      <c r="B49" s="19"/>
      <c r="C49" s="19"/>
      <c r="D49" s="20"/>
      <c r="E49" s="20"/>
      <c r="F49" s="17" t="str">
        <f aca="false">IF($D49="","",ROUND($D49-IF($E49="",0,$E49),2))</f>
        <v/>
      </c>
      <c r="G49" s="19"/>
    </row>
    <row r="50" customFormat="false" ht="15" hidden="false" customHeight="false" outlineLevel="0" collapsed="false">
      <c r="A50" s="14"/>
      <c r="B50" s="15"/>
      <c r="C50" s="15"/>
      <c r="D50" s="16"/>
      <c r="E50" s="16"/>
      <c r="F50" s="17" t="str">
        <f aca="false">IF($D50="","",ROUND($D50-IF($E50="",0,$E50),2))</f>
        <v/>
      </c>
      <c r="G50" s="15"/>
    </row>
    <row r="51" customFormat="false" ht="15" hidden="false" customHeight="false" outlineLevel="0" collapsed="false">
      <c r="A51" s="18"/>
      <c r="B51" s="19"/>
      <c r="C51" s="19"/>
      <c r="D51" s="20"/>
      <c r="E51" s="20"/>
      <c r="F51" s="17" t="str">
        <f aca="false">IF($D51="","",ROUND($D51-IF($E51="",0,$E51),2))</f>
        <v/>
      </c>
      <c r="G51" s="19"/>
    </row>
    <row r="52" customFormat="false" ht="15" hidden="false" customHeight="false" outlineLevel="0" collapsed="false">
      <c r="A52" s="14"/>
      <c r="B52" s="15"/>
      <c r="C52" s="15"/>
      <c r="D52" s="16"/>
      <c r="E52" s="16"/>
      <c r="F52" s="17" t="str">
        <f aca="false">IF($D52="","",ROUND($D52-IF($E52="",0,$E52),2))</f>
        <v/>
      </c>
      <c r="G52" s="15"/>
    </row>
    <row r="53" customFormat="false" ht="15" hidden="false" customHeight="false" outlineLevel="0" collapsed="false">
      <c r="A53" s="18"/>
      <c r="B53" s="19"/>
      <c r="C53" s="19"/>
      <c r="D53" s="20"/>
      <c r="E53" s="20"/>
      <c r="F53" s="17" t="str">
        <f aca="false">IF($D53="","",ROUND($D53-IF($E53="",0,$E53),2))</f>
        <v/>
      </c>
      <c r="G53" s="19"/>
    </row>
    <row r="54" customFormat="false" ht="15" hidden="false" customHeight="false" outlineLevel="0" collapsed="false">
      <c r="A54" s="14"/>
      <c r="B54" s="15"/>
      <c r="C54" s="15"/>
      <c r="D54" s="16"/>
      <c r="E54" s="16"/>
      <c r="F54" s="17" t="str">
        <f aca="false">IF($D54="","",ROUND($D54-IF($E54="",0,$E54),2))</f>
        <v/>
      </c>
      <c r="G54" s="15"/>
    </row>
    <row r="55" customFormat="false" ht="15" hidden="false" customHeight="false" outlineLevel="0" collapsed="false">
      <c r="A55" s="18"/>
      <c r="B55" s="19"/>
      <c r="C55" s="19"/>
      <c r="D55" s="20"/>
      <c r="E55" s="20"/>
      <c r="F55" s="17" t="str">
        <f aca="false">IF($D55="","",ROUND($D55-IF($E55="",0,$E55),2))</f>
        <v/>
      </c>
      <c r="G55" s="19"/>
    </row>
    <row r="56" customFormat="false" ht="15" hidden="false" customHeight="false" outlineLevel="0" collapsed="false">
      <c r="A56" s="14"/>
      <c r="B56" s="15"/>
      <c r="C56" s="15"/>
      <c r="D56" s="16"/>
      <c r="E56" s="16"/>
      <c r="F56" s="17" t="str">
        <f aca="false">IF($D56="","",ROUND($D56-IF($E56="",0,$E56),2))</f>
        <v/>
      </c>
      <c r="G56" s="15"/>
    </row>
    <row r="57" customFormat="false" ht="15" hidden="false" customHeight="false" outlineLevel="0" collapsed="false">
      <c r="A57" s="18"/>
      <c r="B57" s="19"/>
      <c r="C57" s="19"/>
      <c r="D57" s="20"/>
      <c r="E57" s="20"/>
      <c r="F57" s="17" t="str">
        <f aca="false">IF($D57="","",ROUND($D57-IF($E57="",0,$E57),2))</f>
        <v/>
      </c>
      <c r="G57" s="19"/>
    </row>
    <row r="58" customFormat="false" ht="15" hidden="false" customHeight="false" outlineLevel="0" collapsed="false">
      <c r="A58" s="14"/>
      <c r="B58" s="15"/>
      <c r="C58" s="15"/>
      <c r="D58" s="16"/>
      <c r="E58" s="16"/>
      <c r="F58" s="17" t="str">
        <f aca="false">IF($D58="","",ROUND($D58-IF($E58="",0,$E58),2))</f>
        <v/>
      </c>
      <c r="G58" s="15"/>
    </row>
    <row r="59" customFormat="false" ht="15" hidden="false" customHeight="false" outlineLevel="0" collapsed="false">
      <c r="A59" s="18"/>
      <c r="B59" s="19"/>
      <c r="C59" s="19"/>
      <c r="D59" s="20"/>
      <c r="E59" s="20"/>
      <c r="F59" s="17" t="str">
        <f aca="false">IF($D59="","",ROUND($D59-IF($E59="",0,$E59),2))</f>
        <v/>
      </c>
      <c r="G59" s="19"/>
    </row>
    <row r="60" customFormat="false" ht="15" hidden="false" customHeight="false" outlineLevel="0" collapsed="false">
      <c r="A60" s="14"/>
      <c r="B60" s="15"/>
      <c r="C60" s="15"/>
      <c r="D60" s="16"/>
      <c r="E60" s="16"/>
      <c r="F60" s="17" t="str">
        <f aca="false">IF($D60="","",ROUND($D60-IF($E60="",0,$E60),2))</f>
        <v/>
      </c>
      <c r="G60" s="15"/>
    </row>
    <row r="61" customFormat="false" ht="15" hidden="false" customHeight="false" outlineLevel="0" collapsed="false">
      <c r="A61" s="18"/>
      <c r="B61" s="19"/>
      <c r="C61" s="19"/>
      <c r="D61" s="20"/>
      <c r="E61" s="20"/>
      <c r="F61" s="17" t="str">
        <f aca="false">IF($D61="","",ROUND($D61-IF($E61="",0,$E61),2))</f>
        <v/>
      </c>
      <c r="G61" s="19"/>
    </row>
    <row r="62" customFormat="false" ht="15" hidden="false" customHeight="false" outlineLevel="0" collapsed="false">
      <c r="A62" s="14"/>
      <c r="B62" s="15"/>
      <c r="C62" s="15"/>
      <c r="D62" s="16"/>
      <c r="E62" s="16"/>
      <c r="F62" s="17" t="str">
        <f aca="false">IF($D62="","",ROUND($D62-IF($E62="",0,$E62),2))</f>
        <v/>
      </c>
      <c r="G62" s="15"/>
    </row>
    <row r="63" customFormat="false" ht="15" hidden="false" customHeight="false" outlineLevel="0" collapsed="false">
      <c r="A63" s="18"/>
      <c r="B63" s="19"/>
      <c r="C63" s="19"/>
      <c r="D63" s="20"/>
      <c r="E63" s="20"/>
      <c r="F63" s="17" t="str">
        <f aca="false">IF($D63="","",ROUND($D63-IF($E63="",0,$E63),2))</f>
        <v/>
      </c>
      <c r="G63" s="19"/>
    </row>
    <row r="64" customFormat="false" ht="15" hidden="false" customHeight="false" outlineLevel="0" collapsed="false">
      <c r="A64" s="14"/>
      <c r="B64" s="15"/>
      <c r="C64" s="15"/>
      <c r="D64" s="16"/>
      <c r="E64" s="16"/>
      <c r="F64" s="17" t="str">
        <f aca="false">IF($D64="","",ROUND($D64-IF($E64="",0,$E64),2))</f>
        <v/>
      </c>
      <c r="G64" s="15"/>
    </row>
    <row r="65" customFormat="false" ht="15" hidden="false" customHeight="false" outlineLevel="0" collapsed="false">
      <c r="A65" s="18"/>
      <c r="B65" s="19"/>
      <c r="C65" s="19"/>
      <c r="D65" s="20"/>
      <c r="E65" s="20"/>
      <c r="F65" s="17" t="str">
        <f aca="false">IF($D65="","",ROUND($D65-IF($E65="",0,$E65),2))</f>
        <v/>
      </c>
      <c r="G65" s="19"/>
    </row>
    <row r="66" customFormat="false" ht="15" hidden="false" customHeight="false" outlineLevel="0" collapsed="false">
      <c r="A66" s="14"/>
      <c r="B66" s="15"/>
      <c r="C66" s="15"/>
      <c r="D66" s="16"/>
      <c r="E66" s="16"/>
      <c r="F66" s="17" t="str">
        <f aca="false">IF($D66="","",ROUND($D66-IF($E66="",0,$E66),2))</f>
        <v/>
      </c>
      <c r="G66" s="15"/>
    </row>
    <row r="67" customFormat="false" ht="15" hidden="false" customHeight="false" outlineLevel="0" collapsed="false">
      <c r="A67" s="18"/>
      <c r="B67" s="19"/>
      <c r="C67" s="19"/>
      <c r="D67" s="20"/>
      <c r="E67" s="20"/>
      <c r="F67" s="17" t="str">
        <f aca="false">IF($D67="","",ROUND($D67-IF($E67="",0,$E67),2))</f>
        <v/>
      </c>
      <c r="G67" s="19"/>
    </row>
    <row r="68" customFormat="false" ht="15" hidden="false" customHeight="false" outlineLevel="0" collapsed="false">
      <c r="A68" s="14"/>
      <c r="B68" s="15"/>
      <c r="C68" s="15"/>
      <c r="D68" s="16"/>
      <c r="E68" s="16"/>
      <c r="F68" s="17" t="str">
        <f aca="false">IF($D68="","",ROUND($D68-IF($E68="",0,$E68),2))</f>
        <v/>
      </c>
      <c r="G68" s="15"/>
    </row>
    <row r="69" customFormat="false" ht="15" hidden="false" customHeight="false" outlineLevel="0" collapsed="false">
      <c r="A69" s="18"/>
      <c r="B69" s="19"/>
      <c r="C69" s="19"/>
      <c r="D69" s="20"/>
      <c r="E69" s="20"/>
      <c r="F69" s="17" t="str">
        <f aca="false">IF($D69="","",ROUND($D69-IF($E69="",0,$E69),2))</f>
        <v/>
      </c>
      <c r="G69" s="19"/>
    </row>
    <row r="70" customFormat="false" ht="15" hidden="false" customHeight="false" outlineLevel="0" collapsed="false">
      <c r="A70" s="14"/>
      <c r="B70" s="15"/>
      <c r="C70" s="15"/>
      <c r="D70" s="16"/>
      <c r="E70" s="16"/>
      <c r="F70" s="17" t="str">
        <f aca="false">IF($D70="","",ROUND($D70-IF($E70="",0,$E70),2))</f>
        <v/>
      </c>
      <c r="G70" s="15"/>
    </row>
    <row r="71" customFormat="false" ht="15" hidden="false" customHeight="false" outlineLevel="0" collapsed="false">
      <c r="A71" s="18"/>
      <c r="B71" s="19"/>
      <c r="C71" s="19"/>
      <c r="D71" s="20"/>
      <c r="E71" s="20"/>
      <c r="F71" s="17" t="str">
        <f aca="false">IF($D71="","",ROUND($D71-IF($E71="",0,$E71),2))</f>
        <v/>
      </c>
      <c r="G71" s="19"/>
    </row>
    <row r="72" customFormat="false" ht="15" hidden="false" customHeight="false" outlineLevel="0" collapsed="false">
      <c r="A72" s="14"/>
      <c r="B72" s="15"/>
      <c r="C72" s="15"/>
      <c r="D72" s="16"/>
      <c r="E72" s="16"/>
      <c r="F72" s="17" t="str">
        <f aca="false">IF($D72="","",ROUND($D72-IF($E72="",0,$E72),2))</f>
        <v/>
      </c>
      <c r="G72" s="15"/>
    </row>
    <row r="73" customFormat="false" ht="15" hidden="false" customHeight="false" outlineLevel="0" collapsed="false">
      <c r="A73" s="18"/>
      <c r="B73" s="19"/>
      <c r="C73" s="19"/>
      <c r="D73" s="20"/>
      <c r="E73" s="20"/>
      <c r="F73" s="17" t="str">
        <f aca="false">IF($D73="","",ROUND($D73-IF($E73="",0,$E73),2))</f>
        <v/>
      </c>
      <c r="G73" s="19"/>
    </row>
    <row r="74" customFormat="false" ht="15" hidden="false" customHeight="false" outlineLevel="0" collapsed="false">
      <c r="A74" s="14"/>
      <c r="B74" s="15"/>
      <c r="C74" s="15"/>
      <c r="D74" s="16"/>
      <c r="E74" s="16"/>
      <c r="F74" s="17" t="str">
        <f aca="false">IF($D74="","",ROUND($D74-IF($E74="",0,$E74),2))</f>
        <v/>
      </c>
      <c r="G74" s="15"/>
    </row>
    <row r="75" customFormat="false" ht="15" hidden="false" customHeight="false" outlineLevel="0" collapsed="false">
      <c r="A75" s="18"/>
      <c r="B75" s="19"/>
      <c r="C75" s="19"/>
      <c r="D75" s="20"/>
      <c r="E75" s="20"/>
      <c r="F75" s="17" t="str">
        <f aca="false">IF($D75="","",ROUND($D75-IF($E75="",0,$E75),2))</f>
        <v/>
      </c>
      <c r="G75" s="19"/>
    </row>
    <row r="76" customFormat="false" ht="15" hidden="false" customHeight="false" outlineLevel="0" collapsed="false">
      <c r="A76" s="14"/>
      <c r="B76" s="15"/>
      <c r="C76" s="15"/>
      <c r="D76" s="16"/>
      <c r="E76" s="16"/>
      <c r="F76" s="17" t="str">
        <f aca="false">IF($D76="","",ROUND($D76-IF($E76="",0,$E76),2))</f>
        <v/>
      </c>
      <c r="G76" s="15"/>
    </row>
    <row r="77" customFormat="false" ht="15" hidden="false" customHeight="false" outlineLevel="0" collapsed="false">
      <c r="A77" s="18"/>
      <c r="B77" s="19"/>
      <c r="C77" s="19"/>
      <c r="D77" s="20"/>
      <c r="E77" s="20"/>
      <c r="F77" s="17" t="str">
        <f aca="false">IF($D77="","",ROUND($D77-IF($E77="",0,$E77),2))</f>
        <v/>
      </c>
      <c r="G77" s="19"/>
    </row>
    <row r="78" customFormat="false" ht="15" hidden="false" customHeight="false" outlineLevel="0" collapsed="false">
      <c r="A78" s="14"/>
      <c r="B78" s="15"/>
      <c r="C78" s="15"/>
      <c r="D78" s="16"/>
      <c r="E78" s="16"/>
      <c r="F78" s="17" t="str">
        <f aca="false">IF($D78="","",ROUND($D78-IF($E78="",0,$E78),2))</f>
        <v/>
      </c>
      <c r="G78" s="15"/>
    </row>
    <row r="79" customFormat="false" ht="15" hidden="false" customHeight="false" outlineLevel="0" collapsed="false">
      <c r="A79" s="18"/>
      <c r="B79" s="19"/>
      <c r="C79" s="19"/>
      <c r="D79" s="20"/>
      <c r="E79" s="20"/>
      <c r="F79" s="17" t="str">
        <f aca="false">IF($D79="","",ROUND($D79-IF($E79="",0,$E79),2))</f>
        <v/>
      </c>
      <c r="G79" s="19"/>
    </row>
    <row r="80" customFormat="false" ht="15" hidden="false" customHeight="false" outlineLevel="0" collapsed="false">
      <c r="A80" s="14"/>
      <c r="B80" s="15"/>
      <c r="C80" s="15"/>
      <c r="D80" s="16"/>
      <c r="E80" s="16"/>
      <c r="F80" s="17" t="str">
        <f aca="false">IF($D80="","",ROUND($D80-IF($E80="",0,$E80),2))</f>
        <v/>
      </c>
      <c r="G80" s="15"/>
    </row>
    <row r="81" customFormat="false" ht="15" hidden="false" customHeight="false" outlineLevel="0" collapsed="false">
      <c r="A81" s="18"/>
      <c r="B81" s="19"/>
      <c r="C81" s="19"/>
      <c r="D81" s="20"/>
      <c r="E81" s="20"/>
      <c r="F81" s="17" t="str">
        <f aca="false">IF($D81="","",ROUND($D81-IF($E81="",0,$E81),2))</f>
        <v/>
      </c>
      <c r="G81" s="19"/>
    </row>
    <row r="82" customFormat="false" ht="15" hidden="false" customHeight="false" outlineLevel="0" collapsed="false">
      <c r="A82" s="14"/>
      <c r="B82" s="15"/>
      <c r="C82" s="15"/>
      <c r="D82" s="16"/>
      <c r="E82" s="16"/>
      <c r="F82" s="17" t="str">
        <f aca="false">IF($D82="","",ROUND($D82-IF($E82="",0,$E82),2))</f>
        <v/>
      </c>
      <c r="G82" s="15"/>
    </row>
    <row r="83" customFormat="false" ht="15" hidden="false" customHeight="false" outlineLevel="0" collapsed="false">
      <c r="A83" s="18"/>
      <c r="B83" s="19"/>
      <c r="C83" s="19"/>
      <c r="D83" s="20"/>
      <c r="E83" s="20"/>
      <c r="F83" s="17" t="str">
        <f aca="false">IF($D83="","",ROUND($D83-IF($E83="",0,$E83),2))</f>
        <v/>
      </c>
      <c r="G83" s="19"/>
    </row>
    <row r="84" customFormat="false" ht="15" hidden="false" customHeight="false" outlineLevel="0" collapsed="false">
      <c r="A84" s="14"/>
      <c r="B84" s="15"/>
      <c r="C84" s="15"/>
      <c r="D84" s="16"/>
      <c r="E84" s="16"/>
      <c r="F84" s="17" t="str">
        <f aca="false">IF($D84="","",ROUND($D84-IF($E84="",0,$E84),2))</f>
        <v/>
      </c>
      <c r="G84" s="15"/>
    </row>
    <row r="85" customFormat="false" ht="15" hidden="false" customHeight="false" outlineLevel="0" collapsed="false">
      <c r="A85" s="18"/>
      <c r="B85" s="19"/>
      <c r="C85" s="19"/>
      <c r="D85" s="20"/>
      <c r="E85" s="20"/>
      <c r="F85" s="17" t="str">
        <f aca="false">IF($D85="","",ROUND($D85-IF($E85="",0,$E85),2))</f>
        <v/>
      </c>
      <c r="G85" s="19"/>
    </row>
    <row r="86" customFormat="false" ht="15" hidden="false" customHeight="false" outlineLevel="0" collapsed="false">
      <c r="A86" s="14"/>
      <c r="B86" s="15"/>
      <c r="C86" s="15"/>
      <c r="D86" s="16"/>
      <c r="E86" s="16"/>
      <c r="F86" s="17" t="str">
        <f aca="false">IF($D86="","",ROUND($D86-IF($E86="",0,$E86),2))</f>
        <v/>
      </c>
      <c r="G86" s="15"/>
    </row>
    <row r="87" customFormat="false" ht="15" hidden="false" customHeight="false" outlineLevel="0" collapsed="false">
      <c r="A87" s="18"/>
      <c r="B87" s="19"/>
      <c r="C87" s="19"/>
      <c r="D87" s="20"/>
      <c r="E87" s="20"/>
      <c r="F87" s="17" t="str">
        <f aca="false">IF($D87="","",ROUND($D87-IF($E87="",0,$E87),2))</f>
        <v/>
      </c>
      <c r="G87" s="19"/>
    </row>
    <row r="88" customFormat="false" ht="15" hidden="false" customHeight="false" outlineLevel="0" collapsed="false">
      <c r="A88" s="14"/>
      <c r="B88" s="15"/>
      <c r="C88" s="15"/>
      <c r="D88" s="16"/>
      <c r="E88" s="16"/>
      <c r="F88" s="17" t="str">
        <f aca="false">IF($D88="","",ROUND($D88-IF($E88="",0,$E88),2))</f>
        <v/>
      </c>
      <c r="G88" s="15"/>
    </row>
    <row r="89" customFormat="false" ht="15" hidden="false" customHeight="false" outlineLevel="0" collapsed="false">
      <c r="A89" s="18"/>
      <c r="B89" s="19"/>
      <c r="C89" s="19"/>
      <c r="D89" s="20"/>
      <c r="E89" s="20"/>
      <c r="F89" s="17" t="str">
        <f aca="false">IF($D89="","",ROUND($D89-IF($E89="",0,$E89),2))</f>
        <v/>
      </c>
      <c r="G89" s="19"/>
    </row>
    <row r="90" customFormat="false" ht="15" hidden="false" customHeight="false" outlineLevel="0" collapsed="false">
      <c r="A90" s="14"/>
      <c r="B90" s="15"/>
      <c r="C90" s="15"/>
      <c r="D90" s="16"/>
      <c r="E90" s="16"/>
      <c r="F90" s="17" t="str">
        <f aca="false">IF($D90="","",ROUND($D90-IF($E90="",0,$E90),2))</f>
        <v/>
      </c>
      <c r="G90" s="15"/>
    </row>
    <row r="91" customFormat="false" ht="15" hidden="false" customHeight="false" outlineLevel="0" collapsed="false">
      <c r="A91" s="18"/>
      <c r="B91" s="19"/>
      <c r="C91" s="19"/>
      <c r="D91" s="20"/>
      <c r="E91" s="20"/>
      <c r="F91" s="17" t="str">
        <f aca="false">IF($D91="","",ROUND($D91-IF($E91="",0,$E91),2))</f>
        <v/>
      </c>
      <c r="G91" s="19"/>
    </row>
    <row r="92" customFormat="false" ht="15" hidden="false" customHeight="false" outlineLevel="0" collapsed="false">
      <c r="A92" s="14"/>
      <c r="B92" s="15"/>
      <c r="C92" s="15"/>
      <c r="D92" s="16"/>
      <c r="E92" s="16"/>
      <c r="F92" s="17" t="str">
        <f aca="false">IF($D92="","",ROUND($D92-IF($E92="",0,$E92),2))</f>
        <v/>
      </c>
      <c r="G92" s="15"/>
    </row>
    <row r="93" customFormat="false" ht="15" hidden="false" customHeight="false" outlineLevel="0" collapsed="false">
      <c r="A93" s="18"/>
      <c r="B93" s="19"/>
      <c r="C93" s="19"/>
      <c r="D93" s="20"/>
      <c r="E93" s="20"/>
      <c r="F93" s="17" t="str">
        <f aca="false">IF($D93="","",ROUND($D93-IF($E93="",0,$E93),2))</f>
        <v/>
      </c>
      <c r="G93" s="19"/>
    </row>
    <row r="94" customFormat="false" ht="15" hidden="false" customHeight="false" outlineLevel="0" collapsed="false">
      <c r="A94" s="14"/>
      <c r="B94" s="15"/>
      <c r="C94" s="15"/>
      <c r="D94" s="16"/>
      <c r="E94" s="16"/>
      <c r="F94" s="17" t="str">
        <f aca="false">IF($D94="","",ROUND($D94-IF($E94="",0,$E94),2))</f>
        <v/>
      </c>
      <c r="G94" s="15"/>
    </row>
    <row r="95" customFormat="false" ht="15" hidden="false" customHeight="false" outlineLevel="0" collapsed="false">
      <c r="A95" s="18"/>
      <c r="B95" s="19"/>
      <c r="C95" s="19"/>
      <c r="D95" s="20"/>
      <c r="E95" s="20"/>
      <c r="F95" s="17" t="str">
        <f aca="false">IF($D95="","",ROUND($D95-IF($E95="",0,$E95),2))</f>
        <v/>
      </c>
      <c r="G95" s="19"/>
    </row>
    <row r="96" customFormat="false" ht="15" hidden="false" customHeight="false" outlineLevel="0" collapsed="false">
      <c r="A96" s="14"/>
      <c r="B96" s="15"/>
      <c r="C96" s="15"/>
      <c r="D96" s="16"/>
      <c r="E96" s="16"/>
      <c r="F96" s="17" t="str">
        <f aca="false">IF($D96="","",ROUND($D96-IF($E96="",0,$E96),2))</f>
        <v/>
      </c>
      <c r="G96" s="15"/>
    </row>
    <row r="97" customFormat="false" ht="15" hidden="false" customHeight="false" outlineLevel="0" collapsed="false">
      <c r="A97" s="18"/>
      <c r="B97" s="19"/>
      <c r="C97" s="19"/>
      <c r="D97" s="20"/>
      <c r="E97" s="20"/>
      <c r="F97" s="17" t="str">
        <f aca="false">IF($D97="","",ROUND($D97-IF($E97="",0,$E97),2))</f>
        <v/>
      </c>
      <c r="G97" s="19"/>
    </row>
    <row r="98" customFormat="false" ht="15" hidden="false" customHeight="false" outlineLevel="0" collapsed="false">
      <c r="A98" s="14"/>
      <c r="B98" s="15"/>
      <c r="C98" s="15"/>
      <c r="D98" s="16"/>
      <c r="E98" s="16"/>
      <c r="F98" s="17" t="str">
        <f aca="false">IF($D98="","",ROUND($D98-IF($E98="",0,$E98),2))</f>
        <v/>
      </c>
      <c r="G98" s="15"/>
    </row>
    <row r="99" customFormat="false" ht="15" hidden="false" customHeight="false" outlineLevel="0" collapsed="false">
      <c r="A99" s="18"/>
      <c r="B99" s="19"/>
      <c r="C99" s="19"/>
      <c r="D99" s="20"/>
      <c r="E99" s="20"/>
      <c r="F99" s="17" t="str">
        <f aca="false">IF($D99="","",ROUND($D99-IF($E99="",0,$E99),2))</f>
        <v/>
      </c>
      <c r="G99" s="19"/>
    </row>
    <row r="100" customFormat="false" ht="15" hidden="false" customHeight="false" outlineLevel="0" collapsed="false">
      <c r="A100" s="14"/>
      <c r="B100" s="15"/>
      <c r="C100" s="15"/>
      <c r="D100" s="16"/>
      <c r="E100" s="16"/>
      <c r="F100" s="17" t="str">
        <f aca="false">IF($D100="","",ROUND($D100-IF($E100="",0,$E100),2))</f>
        <v/>
      </c>
      <c r="G100" s="15"/>
    </row>
    <row r="101" customFormat="false" ht="15" hidden="false" customHeight="false" outlineLevel="0" collapsed="false">
      <c r="A101" s="18"/>
      <c r="B101" s="19"/>
      <c r="C101" s="19"/>
      <c r="D101" s="20"/>
      <c r="E101" s="20"/>
      <c r="F101" s="17" t="str">
        <f aca="false">IF($D101="","",ROUND($D101-IF($E101="",0,$E101),2))</f>
        <v/>
      </c>
      <c r="G101" s="19"/>
    </row>
    <row r="102" customFormat="false" ht="15" hidden="false" customHeight="false" outlineLevel="0" collapsed="false">
      <c r="A102" s="14"/>
      <c r="B102" s="15"/>
      <c r="C102" s="15"/>
      <c r="D102" s="16"/>
      <c r="E102" s="16"/>
      <c r="F102" s="17" t="str">
        <f aca="false">IF($D102="","",ROUND($D102-IF($E102="",0,$E102),2))</f>
        <v/>
      </c>
      <c r="G102" s="15"/>
    </row>
    <row r="103" customFormat="false" ht="15" hidden="false" customHeight="false" outlineLevel="0" collapsed="false">
      <c r="A103" s="18"/>
      <c r="B103" s="19"/>
      <c r="C103" s="19"/>
      <c r="D103" s="20"/>
      <c r="E103" s="20"/>
      <c r="F103" s="17" t="str">
        <f aca="false">IF($D103="","",ROUND($D103-IF($E103="",0,$E103),2))</f>
        <v/>
      </c>
      <c r="G103" s="19"/>
    </row>
    <row r="104" customFormat="false" ht="15" hidden="false" customHeight="false" outlineLevel="0" collapsed="false">
      <c r="A104" s="14"/>
      <c r="B104" s="15"/>
      <c r="C104" s="15"/>
      <c r="D104" s="16"/>
      <c r="E104" s="16"/>
      <c r="F104" s="17" t="str">
        <f aca="false">IF($D104="","",ROUND($D104-IF($E104="",0,$E104),2))</f>
        <v/>
      </c>
      <c r="G104" s="15"/>
    </row>
    <row r="105" customFormat="false" ht="15" hidden="false" customHeight="false" outlineLevel="0" collapsed="false">
      <c r="A105" s="18"/>
      <c r="B105" s="19"/>
      <c r="C105" s="19"/>
      <c r="D105" s="20"/>
      <c r="E105" s="20"/>
      <c r="F105" s="17" t="str">
        <f aca="false">IF($D105="","",ROUND($D105-IF($E105="",0,$E105),2))</f>
        <v/>
      </c>
      <c r="G105" s="19"/>
    </row>
    <row r="106" customFormat="false" ht="15" hidden="false" customHeight="false" outlineLevel="0" collapsed="false">
      <c r="A106" s="14"/>
      <c r="B106" s="15"/>
      <c r="C106" s="15"/>
      <c r="D106" s="16"/>
      <c r="E106" s="16"/>
      <c r="F106" s="17" t="str">
        <f aca="false">IF($D106="","",ROUND($D106-IF($E106="",0,$E106),2))</f>
        <v/>
      </c>
      <c r="G106" s="15"/>
    </row>
    <row r="107" customFormat="false" ht="15" hidden="false" customHeight="false" outlineLevel="0" collapsed="false">
      <c r="A107" s="18"/>
      <c r="B107" s="19"/>
      <c r="C107" s="19"/>
      <c r="D107" s="20"/>
      <c r="E107" s="20"/>
      <c r="F107" s="17" t="str">
        <f aca="false">IF($D107="","",ROUND($D107-IF($E107="",0,$E107),2))</f>
        <v/>
      </c>
      <c r="G107" s="19"/>
    </row>
    <row r="108" customFormat="false" ht="15" hidden="false" customHeight="false" outlineLevel="0" collapsed="false">
      <c r="A108" s="14"/>
      <c r="B108" s="15"/>
      <c r="C108" s="15"/>
      <c r="D108" s="16"/>
      <c r="E108" s="16"/>
      <c r="F108" s="17" t="str">
        <f aca="false">IF($D108="","",ROUND($D108-IF($E108="",0,$E108),2))</f>
        <v/>
      </c>
      <c r="G108" s="15"/>
    </row>
    <row r="109" customFormat="false" ht="15" hidden="false" customHeight="false" outlineLevel="0" collapsed="false">
      <c r="A109" s="18"/>
      <c r="B109" s="19"/>
      <c r="C109" s="19"/>
      <c r="D109" s="20"/>
      <c r="E109" s="20"/>
      <c r="F109" s="17" t="str">
        <f aca="false">IF($D109="","",ROUND($D109-IF($E109="",0,$E109),2))</f>
        <v/>
      </c>
      <c r="G109" s="19"/>
    </row>
    <row r="110" customFormat="false" ht="15" hidden="false" customHeight="false" outlineLevel="0" collapsed="false">
      <c r="A110" s="14"/>
      <c r="B110" s="15"/>
      <c r="C110" s="15"/>
      <c r="D110" s="16"/>
      <c r="E110" s="16"/>
      <c r="F110" s="17" t="str">
        <f aca="false">IF($D110="","",ROUND($D110-IF($E110="",0,$E110),2))</f>
        <v/>
      </c>
      <c r="G110" s="15"/>
    </row>
    <row r="111" customFormat="false" ht="15" hidden="false" customHeight="false" outlineLevel="0" collapsed="false">
      <c r="A111" s="18"/>
      <c r="B111" s="19"/>
      <c r="C111" s="19"/>
      <c r="D111" s="20"/>
      <c r="E111" s="20"/>
      <c r="F111" s="17" t="str">
        <f aca="false">IF($D111="","",ROUND($D111-IF($E111="",0,$E111),2))</f>
        <v/>
      </c>
      <c r="G111" s="19"/>
    </row>
    <row r="112" customFormat="false" ht="15" hidden="false" customHeight="false" outlineLevel="0" collapsed="false">
      <c r="A112" s="14"/>
      <c r="B112" s="15"/>
      <c r="C112" s="15"/>
      <c r="D112" s="16"/>
      <c r="E112" s="16"/>
      <c r="F112" s="17" t="str">
        <f aca="false">IF($D112="","",ROUND($D112-IF($E112="",0,$E112),2))</f>
        <v/>
      </c>
      <c r="G112" s="15"/>
    </row>
    <row r="113" customFormat="false" ht="15" hidden="false" customHeight="false" outlineLevel="0" collapsed="false">
      <c r="A113" s="18"/>
      <c r="B113" s="19"/>
      <c r="C113" s="19"/>
      <c r="D113" s="20"/>
      <c r="E113" s="20"/>
      <c r="F113" s="17" t="str">
        <f aca="false">IF($D113="","",ROUND($D113-IF($E113="",0,$E113),2))</f>
        <v/>
      </c>
      <c r="G113" s="19"/>
    </row>
    <row r="114" customFormat="false" ht="15" hidden="false" customHeight="false" outlineLevel="0" collapsed="false">
      <c r="A114" s="14"/>
      <c r="B114" s="15"/>
      <c r="C114" s="15"/>
      <c r="D114" s="16"/>
      <c r="E114" s="16"/>
      <c r="F114" s="17" t="str">
        <f aca="false">IF($D114="","",ROUND($D114-IF($E114="",0,$E114),2))</f>
        <v/>
      </c>
      <c r="G114" s="15"/>
    </row>
    <row r="115" customFormat="false" ht="15" hidden="false" customHeight="false" outlineLevel="0" collapsed="false">
      <c r="A115" s="18"/>
      <c r="B115" s="19"/>
      <c r="C115" s="19"/>
      <c r="D115" s="20"/>
      <c r="E115" s="20"/>
      <c r="F115" s="17" t="str">
        <f aca="false">IF($D115="","",ROUND($D115-IF($E115="",0,$E115),2))</f>
        <v/>
      </c>
      <c r="G115" s="19"/>
    </row>
    <row r="116" customFormat="false" ht="15" hidden="false" customHeight="false" outlineLevel="0" collapsed="false">
      <c r="A116" s="14"/>
      <c r="B116" s="15"/>
      <c r="C116" s="15"/>
      <c r="D116" s="16"/>
      <c r="E116" s="16"/>
      <c r="F116" s="17" t="str">
        <f aca="false">IF($D116="","",ROUND($D116-IF($E116="",0,$E116),2))</f>
        <v/>
      </c>
      <c r="G116" s="15"/>
    </row>
    <row r="117" customFormat="false" ht="15" hidden="false" customHeight="false" outlineLevel="0" collapsed="false">
      <c r="A117" s="18"/>
      <c r="B117" s="19"/>
      <c r="C117" s="19"/>
      <c r="D117" s="20"/>
      <c r="E117" s="20"/>
      <c r="F117" s="17" t="str">
        <f aca="false">IF($D117="","",ROUND($D117-IF($E117="",0,$E117),2))</f>
        <v/>
      </c>
      <c r="G117" s="19"/>
    </row>
    <row r="118" customFormat="false" ht="15" hidden="false" customHeight="false" outlineLevel="0" collapsed="false">
      <c r="A118" s="14"/>
      <c r="B118" s="15"/>
      <c r="C118" s="15"/>
      <c r="D118" s="16"/>
      <c r="E118" s="16"/>
      <c r="F118" s="17" t="str">
        <f aca="false">IF($D118="","",ROUND($D118-IF($E118="",0,$E118),2))</f>
        <v/>
      </c>
      <c r="G118" s="15"/>
    </row>
    <row r="119" customFormat="false" ht="15" hidden="false" customHeight="false" outlineLevel="0" collapsed="false">
      <c r="A119" s="18"/>
      <c r="B119" s="19"/>
      <c r="C119" s="19"/>
      <c r="D119" s="20"/>
      <c r="E119" s="20"/>
      <c r="F119" s="17" t="str">
        <f aca="false">IF($D119="","",ROUND($D119-IF($E119="",0,$E119),2))</f>
        <v/>
      </c>
      <c r="G119" s="19"/>
    </row>
    <row r="120" customFormat="false" ht="15" hidden="false" customHeight="false" outlineLevel="0" collapsed="false">
      <c r="A120" s="14"/>
      <c r="B120" s="15"/>
      <c r="C120" s="15"/>
      <c r="D120" s="16"/>
      <c r="E120" s="16"/>
      <c r="F120" s="17" t="str">
        <f aca="false">IF($D120="","",ROUND($D120-IF($E120="",0,$E120),2))</f>
        <v/>
      </c>
      <c r="G120" s="15"/>
    </row>
    <row r="121" customFormat="false" ht="15" hidden="false" customHeight="false" outlineLevel="0" collapsed="false">
      <c r="A121" s="18"/>
      <c r="B121" s="19"/>
      <c r="C121" s="19"/>
      <c r="D121" s="20"/>
      <c r="E121" s="20"/>
      <c r="F121" s="17" t="str">
        <f aca="false">IF($D121="","",ROUND($D121-IF($E121="",0,$E121),2))</f>
        <v/>
      </c>
      <c r="G121" s="19"/>
    </row>
    <row r="122" customFormat="false" ht="15" hidden="false" customHeight="false" outlineLevel="0" collapsed="false">
      <c r="A122" s="14"/>
      <c r="B122" s="15"/>
      <c r="C122" s="15"/>
      <c r="D122" s="16"/>
      <c r="E122" s="16"/>
      <c r="F122" s="17" t="str">
        <f aca="false">IF($D122="","",ROUND($D122-IF($E122="",0,$E122),2))</f>
        <v/>
      </c>
      <c r="G122" s="15"/>
    </row>
    <row r="123" customFormat="false" ht="15" hidden="false" customHeight="false" outlineLevel="0" collapsed="false">
      <c r="A123" s="18"/>
      <c r="B123" s="19"/>
      <c r="C123" s="19"/>
      <c r="D123" s="20"/>
      <c r="E123" s="20"/>
      <c r="F123" s="17" t="str">
        <f aca="false">IF($D123="","",ROUND($D123-IF($E123="",0,$E123),2))</f>
        <v/>
      </c>
      <c r="G123" s="19"/>
    </row>
    <row r="124" customFormat="false" ht="15" hidden="false" customHeight="false" outlineLevel="0" collapsed="false">
      <c r="A124" s="14"/>
      <c r="B124" s="15"/>
      <c r="C124" s="15"/>
      <c r="D124" s="16"/>
      <c r="E124" s="16"/>
      <c r="F124" s="17" t="str">
        <f aca="false">IF($D124="","",ROUND($D124-IF($E124="",0,$E124),2))</f>
        <v/>
      </c>
      <c r="G124" s="15"/>
    </row>
    <row r="125" customFormat="false" ht="15" hidden="false" customHeight="false" outlineLevel="0" collapsed="false">
      <c r="A125" s="18"/>
      <c r="B125" s="19"/>
      <c r="C125" s="19"/>
      <c r="D125" s="20"/>
      <c r="E125" s="20"/>
      <c r="F125" s="17" t="str">
        <f aca="false">IF($D125="","",ROUND($D125-IF($E125="",0,$E125),2))</f>
        <v/>
      </c>
      <c r="G125" s="19"/>
    </row>
    <row r="126" customFormat="false" ht="15" hidden="false" customHeight="false" outlineLevel="0" collapsed="false">
      <c r="A126" s="14"/>
      <c r="B126" s="15"/>
      <c r="C126" s="15"/>
      <c r="D126" s="16"/>
      <c r="E126" s="16"/>
      <c r="F126" s="17" t="str">
        <f aca="false">IF($D126="","",ROUND($D126-IF($E126="",0,$E126),2))</f>
        <v/>
      </c>
      <c r="G126" s="15"/>
    </row>
    <row r="127" customFormat="false" ht="15" hidden="false" customHeight="false" outlineLevel="0" collapsed="false">
      <c r="A127" s="18"/>
      <c r="B127" s="19"/>
      <c r="C127" s="19"/>
      <c r="D127" s="20"/>
      <c r="E127" s="20"/>
      <c r="F127" s="17" t="str">
        <f aca="false">IF($D127="","",ROUND($D127-IF($E127="",0,$E127),2))</f>
        <v/>
      </c>
      <c r="G127" s="19"/>
    </row>
    <row r="128" customFormat="false" ht="15" hidden="false" customHeight="false" outlineLevel="0" collapsed="false">
      <c r="A128" s="14"/>
      <c r="B128" s="15"/>
      <c r="C128" s="15"/>
      <c r="D128" s="16"/>
      <c r="E128" s="16"/>
      <c r="F128" s="17" t="str">
        <f aca="false">IF($D128="","",ROUND($D128-IF($E128="",0,$E128),2))</f>
        <v/>
      </c>
      <c r="G128" s="15"/>
    </row>
    <row r="129" customFormat="false" ht="15" hidden="false" customHeight="false" outlineLevel="0" collapsed="false">
      <c r="A129" s="18"/>
      <c r="B129" s="19"/>
      <c r="C129" s="19"/>
      <c r="D129" s="20"/>
      <c r="E129" s="20"/>
      <c r="F129" s="17" t="str">
        <f aca="false">IF($D129="","",ROUND($D129-IF($E129="",0,$E129),2))</f>
        <v/>
      </c>
      <c r="G129" s="19"/>
    </row>
    <row r="130" customFormat="false" ht="15" hidden="false" customHeight="false" outlineLevel="0" collapsed="false">
      <c r="A130" s="14"/>
      <c r="B130" s="15"/>
      <c r="C130" s="15"/>
      <c r="D130" s="16"/>
      <c r="E130" s="16"/>
      <c r="F130" s="17" t="str">
        <f aca="false">IF($D130="","",ROUND($D130-IF($E130="",0,$E130),2))</f>
        <v/>
      </c>
      <c r="G130" s="15"/>
    </row>
    <row r="131" customFormat="false" ht="15" hidden="false" customHeight="false" outlineLevel="0" collapsed="false">
      <c r="A131" s="18"/>
      <c r="B131" s="19"/>
      <c r="C131" s="19"/>
      <c r="D131" s="20"/>
      <c r="E131" s="20"/>
      <c r="F131" s="17" t="str">
        <f aca="false">IF($D131="","",ROUND($D131-IF($E131="",0,$E131),2))</f>
        <v/>
      </c>
      <c r="G131" s="19"/>
    </row>
    <row r="132" customFormat="false" ht="15" hidden="false" customHeight="false" outlineLevel="0" collapsed="false">
      <c r="A132" s="14"/>
      <c r="B132" s="15"/>
      <c r="C132" s="15"/>
      <c r="D132" s="16"/>
      <c r="E132" s="16"/>
      <c r="F132" s="17" t="str">
        <f aca="false">IF($D132="","",ROUND($D132-IF($E132="",0,$E132),2))</f>
        <v/>
      </c>
      <c r="G132" s="15"/>
    </row>
    <row r="133" customFormat="false" ht="15" hidden="false" customHeight="false" outlineLevel="0" collapsed="false">
      <c r="A133" s="18"/>
      <c r="B133" s="19"/>
      <c r="C133" s="19"/>
      <c r="D133" s="20"/>
      <c r="E133" s="20"/>
      <c r="F133" s="17" t="str">
        <f aca="false">IF($D133="","",ROUND($D133-IF($E133="",0,$E133),2))</f>
        <v/>
      </c>
      <c r="G133" s="19"/>
    </row>
    <row r="134" customFormat="false" ht="15" hidden="false" customHeight="false" outlineLevel="0" collapsed="false">
      <c r="A134" s="14"/>
      <c r="B134" s="15"/>
      <c r="C134" s="15"/>
      <c r="D134" s="16"/>
      <c r="E134" s="16"/>
      <c r="F134" s="17" t="str">
        <f aca="false">IF($D134="","",ROUND($D134-IF($E134="",0,$E134),2))</f>
        <v/>
      </c>
      <c r="G134" s="15"/>
    </row>
    <row r="135" customFormat="false" ht="15" hidden="false" customHeight="false" outlineLevel="0" collapsed="false">
      <c r="A135" s="18"/>
      <c r="B135" s="19"/>
      <c r="C135" s="19"/>
      <c r="D135" s="20"/>
      <c r="E135" s="20"/>
      <c r="F135" s="17" t="str">
        <f aca="false">IF($D135="","",ROUND($D135-IF($E135="",0,$E135),2))</f>
        <v/>
      </c>
      <c r="G135" s="19"/>
    </row>
    <row r="136" customFormat="false" ht="15" hidden="false" customHeight="false" outlineLevel="0" collapsed="false">
      <c r="A136" s="14"/>
      <c r="B136" s="15"/>
      <c r="C136" s="15"/>
      <c r="D136" s="16"/>
      <c r="E136" s="16"/>
      <c r="F136" s="17" t="str">
        <f aca="false">IF($D136="","",ROUND($D136-IF($E136="",0,$E136),2))</f>
        <v/>
      </c>
      <c r="G136" s="15"/>
    </row>
    <row r="137" customFormat="false" ht="15" hidden="false" customHeight="false" outlineLevel="0" collapsed="false">
      <c r="A137" s="18"/>
      <c r="B137" s="19"/>
      <c r="C137" s="19"/>
      <c r="D137" s="20"/>
      <c r="E137" s="20"/>
      <c r="F137" s="17" t="str">
        <f aca="false">IF($D137="","",ROUND($D137-IF($E137="",0,$E137),2))</f>
        <v/>
      </c>
      <c r="G137" s="19"/>
    </row>
    <row r="138" customFormat="false" ht="15" hidden="false" customHeight="false" outlineLevel="0" collapsed="false">
      <c r="A138" s="14"/>
      <c r="B138" s="15"/>
      <c r="C138" s="15"/>
      <c r="D138" s="16"/>
      <c r="E138" s="16"/>
      <c r="F138" s="17" t="str">
        <f aca="false">IF($D138="","",ROUND($D138-IF($E138="",0,$E138),2))</f>
        <v/>
      </c>
      <c r="G138" s="15"/>
    </row>
    <row r="139" customFormat="false" ht="15" hidden="false" customHeight="false" outlineLevel="0" collapsed="false">
      <c r="A139" s="18"/>
      <c r="B139" s="19"/>
      <c r="C139" s="19"/>
      <c r="D139" s="20"/>
      <c r="E139" s="20"/>
      <c r="F139" s="17" t="str">
        <f aca="false">IF($D139="","",ROUND($D139-IF($E139="",0,$E139),2))</f>
        <v/>
      </c>
      <c r="G139" s="19"/>
    </row>
    <row r="140" customFormat="false" ht="15" hidden="false" customHeight="false" outlineLevel="0" collapsed="false">
      <c r="A140" s="14"/>
      <c r="B140" s="15"/>
      <c r="C140" s="15"/>
      <c r="D140" s="16"/>
      <c r="E140" s="16"/>
      <c r="F140" s="17" t="str">
        <f aca="false">IF($D140="","",ROUND($D140-IF($E140="",0,$E140),2))</f>
        <v/>
      </c>
      <c r="G140" s="15"/>
    </row>
    <row r="141" customFormat="false" ht="15" hidden="false" customHeight="false" outlineLevel="0" collapsed="false">
      <c r="A141" s="18"/>
      <c r="B141" s="19"/>
      <c r="C141" s="19"/>
      <c r="D141" s="20"/>
      <c r="E141" s="20"/>
      <c r="F141" s="17" t="str">
        <f aca="false">IF($D141="","",ROUND($D141-IF($E141="",0,$E141),2))</f>
        <v/>
      </c>
      <c r="G141" s="19"/>
    </row>
    <row r="142" customFormat="false" ht="15" hidden="false" customHeight="false" outlineLevel="0" collapsed="false">
      <c r="A142" s="14"/>
      <c r="B142" s="15"/>
      <c r="C142" s="15"/>
      <c r="D142" s="16"/>
      <c r="E142" s="16"/>
      <c r="F142" s="17" t="str">
        <f aca="false">IF($D142="","",ROUND($D142-IF($E142="",0,$E142),2))</f>
        <v/>
      </c>
      <c r="G142" s="15"/>
    </row>
    <row r="143" customFormat="false" ht="15" hidden="false" customHeight="false" outlineLevel="0" collapsed="false">
      <c r="A143" s="18"/>
      <c r="B143" s="19"/>
      <c r="C143" s="19"/>
      <c r="D143" s="20"/>
      <c r="E143" s="20"/>
      <c r="F143" s="17" t="str">
        <f aca="false">IF($D143="","",ROUND($D143-IF($E143="",0,$E143),2))</f>
        <v/>
      </c>
      <c r="G143" s="19"/>
    </row>
    <row r="144" customFormat="false" ht="15" hidden="false" customHeight="false" outlineLevel="0" collapsed="false">
      <c r="A144" s="14"/>
      <c r="B144" s="15"/>
      <c r="C144" s="15"/>
      <c r="D144" s="16"/>
      <c r="E144" s="16"/>
      <c r="F144" s="17" t="str">
        <f aca="false">IF($D144="","",ROUND($D144-IF($E144="",0,$E144),2))</f>
        <v/>
      </c>
      <c r="G144" s="15"/>
    </row>
    <row r="145" customFormat="false" ht="15" hidden="false" customHeight="false" outlineLevel="0" collapsed="false">
      <c r="A145" s="18"/>
      <c r="B145" s="19"/>
      <c r="C145" s="19"/>
      <c r="D145" s="20"/>
      <c r="E145" s="20"/>
      <c r="F145" s="17" t="str">
        <f aca="false">IF($D145="","",ROUND($D145-IF($E145="",0,$E145),2))</f>
        <v/>
      </c>
      <c r="G145" s="19"/>
    </row>
    <row r="146" customFormat="false" ht="15" hidden="false" customHeight="false" outlineLevel="0" collapsed="false">
      <c r="A146" s="14"/>
      <c r="B146" s="15"/>
      <c r="C146" s="15"/>
      <c r="D146" s="16"/>
      <c r="E146" s="16"/>
      <c r="F146" s="17" t="str">
        <f aca="false">IF($D146="","",ROUND($D146-IF($E146="",0,$E146),2))</f>
        <v/>
      </c>
      <c r="G146" s="15"/>
    </row>
    <row r="147" customFormat="false" ht="15" hidden="false" customHeight="false" outlineLevel="0" collapsed="false">
      <c r="A147" s="18"/>
      <c r="B147" s="19"/>
      <c r="C147" s="19"/>
      <c r="D147" s="20"/>
      <c r="E147" s="20"/>
      <c r="F147" s="17" t="str">
        <f aca="false">IF($D147="","",ROUND($D147-IF($E147="",0,$E147),2))</f>
        <v/>
      </c>
      <c r="G147" s="19"/>
    </row>
    <row r="148" customFormat="false" ht="15" hidden="false" customHeight="false" outlineLevel="0" collapsed="false">
      <c r="A148" s="14"/>
      <c r="B148" s="15"/>
      <c r="C148" s="15"/>
      <c r="D148" s="16"/>
      <c r="E148" s="16"/>
      <c r="F148" s="17" t="str">
        <f aca="false">IF($D148="","",ROUND($D148-IF($E148="",0,$E148),2))</f>
        <v/>
      </c>
      <c r="G148" s="15"/>
    </row>
    <row r="149" customFormat="false" ht="15" hidden="false" customHeight="false" outlineLevel="0" collapsed="false">
      <c r="A149" s="18"/>
      <c r="B149" s="19"/>
      <c r="C149" s="19"/>
      <c r="D149" s="20"/>
      <c r="E149" s="20"/>
      <c r="F149" s="17" t="str">
        <f aca="false">IF($D149="","",ROUND($D149-IF($E149="",0,$E149),2))</f>
        <v/>
      </c>
      <c r="G149" s="19"/>
    </row>
    <row r="150" customFormat="false" ht="15" hidden="false" customHeight="false" outlineLevel="0" collapsed="false">
      <c r="A150" s="14"/>
      <c r="B150" s="15"/>
      <c r="C150" s="15"/>
      <c r="D150" s="16"/>
      <c r="E150" s="16"/>
      <c r="F150" s="17" t="str">
        <f aca="false">IF($D150="","",ROUND($D150-IF($E150="",0,$E150),2))</f>
        <v/>
      </c>
      <c r="G150" s="15"/>
    </row>
    <row r="151" customFormat="false" ht="15" hidden="false" customHeight="false" outlineLevel="0" collapsed="false">
      <c r="A151" s="18"/>
      <c r="B151" s="19"/>
      <c r="C151" s="19"/>
      <c r="D151" s="20"/>
      <c r="E151" s="20"/>
      <c r="F151" s="17" t="str">
        <f aca="false">IF($D151="","",ROUND($D151-IF($E151="",0,$E151),2))</f>
        <v/>
      </c>
      <c r="G151" s="19"/>
    </row>
    <row r="152" customFormat="false" ht="15" hidden="false" customHeight="false" outlineLevel="0" collapsed="false">
      <c r="A152" s="14"/>
      <c r="B152" s="15"/>
      <c r="C152" s="15"/>
      <c r="D152" s="16"/>
      <c r="E152" s="16"/>
      <c r="F152" s="17" t="str">
        <f aca="false">IF($D152="","",ROUND($D152-IF($E152="",0,$E152),2))</f>
        <v/>
      </c>
      <c r="G152" s="15"/>
    </row>
    <row r="153" customFormat="false" ht="15" hidden="false" customHeight="false" outlineLevel="0" collapsed="false">
      <c r="A153" s="18"/>
      <c r="B153" s="19"/>
      <c r="C153" s="19"/>
      <c r="D153" s="20"/>
      <c r="E153" s="20"/>
      <c r="F153" s="17" t="str">
        <f aca="false">IF($D153="","",ROUND($D153-IF($E153="",0,$E153),2))</f>
        <v/>
      </c>
      <c r="G153" s="19"/>
    </row>
    <row r="154" customFormat="false" ht="15" hidden="false" customHeight="false" outlineLevel="0" collapsed="false">
      <c r="A154" s="14"/>
      <c r="B154" s="15"/>
      <c r="C154" s="15"/>
      <c r="D154" s="16"/>
      <c r="E154" s="16"/>
      <c r="F154" s="17" t="str">
        <f aca="false">IF($D154="","",ROUND($D154-IF($E154="",0,$E154),2))</f>
        <v/>
      </c>
      <c r="G154" s="15"/>
    </row>
    <row r="155" customFormat="false" ht="15" hidden="false" customHeight="false" outlineLevel="0" collapsed="false">
      <c r="A155" s="18"/>
      <c r="B155" s="19"/>
      <c r="C155" s="19"/>
      <c r="D155" s="20"/>
      <c r="E155" s="20"/>
      <c r="F155" s="17" t="str">
        <f aca="false">IF($D155="","",ROUND($D155-IF($E155="",0,$E155),2))</f>
        <v/>
      </c>
      <c r="G155" s="19"/>
    </row>
    <row r="156" customFormat="false" ht="15" hidden="false" customHeight="false" outlineLevel="0" collapsed="false">
      <c r="A156" s="14"/>
      <c r="B156" s="15"/>
      <c r="C156" s="15"/>
      <c r="D156" s="16"/>
      <c r="E156" s="16"/>
      <c r="F156" s="17" t="str">
        <f aca="false">IF($D156="","",ROUND($D156-IF($E156="",0,$E156),2))</f>
        <v/>
      </c>
      <c r="G156" s="15"/>
    </row>
    <row r="157" customFormat="false" ht="15" hidden="false" customHeight="false" outlineLevel="0" collapsed="false">
      <c r="A157" s="18"/>
      <c r="B157" s="19"/>
      <c r="C157" s="19"/>
      <c r="D157" s="20"/>
      <c r="E157" s="20"/>
      <c r="F157" s="17" t="str">
        <f aca="false">IF($D157="","",ROUND($D157-IF($E157="",0,$E157),2))</f>
        <v/>
      </c>
      <c r="G157" s="19"/>
    </row>
    <row r="158" customFormat="false" ht="15" hidden="false" customHeight="false" outlineLevel="0" collapsed="false">
      <c r="A158" s="14"/>
      <c r="B158" s="15"/>
      <c r="C158" s="15"/>
      <c r="D158" s="16"/>
      <c r="E158" s="16"/>
      <c r="F158" s="17" t="str">
        <f aca="false">IF($D158="","",ROUND($D158-IF($E158="",0,$E158),2))</f>
        <v/>
      </c>
      <c r="G158" s="15"/>
    </row>
    <row r="159" customFormat="false" ht="15" hidden="false" customHeight="false" outlineLevel="0" collapsed="false">
      <c r="A159" s="18"/>
      <c r="B159" s="19"/>
      <c r="C159" s="19"/>
      <c r="D159" s="20"/>
      <c r="E159" s="20"/>
      <c r="F159" s="17" t="str">
        <f aca="false">IF($D159="","",ROUND($D159-IF($E159="",0,$E159),2))</f>
        <v/>
      </c>
      <c r="G159" s="19"/>
    </row>
    <row r="160" customFormat="false" ht="15" hidden="false" customHeight="false" outlineLevel="0" collapsed="false">
      <c r="A160" s="14"/>
      <c r="B160" s="15"/>
      <c r="C160" s="15"/>
      <c r="D160" s="16"/>
      <c r="E160" s="16"/>
      <c r="F160" s="17" t="str">
        <f aca="false">IF($D160="","",ROUND($D160-IF($E160="",0,$E160),2))</f>
        <v/>
      </c>
      <c r="G160" s="15"/>
    </row>
    <row r="161" customFormat="false" ht="15" hidden="false" customHeight="false" outlineLevel="0" collapsed="false">
      <c r="A161" s="18"/>
      <c r="B161" s="19"/>
      <c r="C161" s="19"/>
      <c r="D161" s="20"/>
      <c r="E161" s="20"/>
      <c r="F161" s="17" t="str">
        <f aca="false">IF($D161="","",ROUND($D161-IF($E161="",0,$E161),2))</f>
        <v/>
      </c>
      <c r="G161" s="19"/>
    </row>
    <row r="162" customFormat="false" ht="15" hidden="false" customHeight="false" outlineLevel="0" collapsed="false">
      <c r="A162" s="14"/>
      <c r="B162" s="15"/>
      <c r="C162" s="15"/>
      <c r="D162" s="16"/>
      <c r="E162" s="16"/>
      <c r="F162" s="17" t="str">
        <f aca="false">IF($D162="","",ROUND($D162-IF($E162="",0,$E162),2))</f>
        <v/>
      </c>
      <c r="G162" s="15"/>
    </row>
    <row r="163" customFormat="false" ht="15" hidden="false" customHeight="false" outlineLevel="0" collapsed="false">
      <c r="A163" s="18"/>
      <c r="B163" s="19"/>
      <c r="C163" s="19"/>
      <c r="D163" s="20"/>
      <c r="E163" s="20"/>
      <c r="F163" s="17" t="str">
        <f aca="false">IF($D163="","",ROUND($D163-IF($E163="",0,$E163),2))</f>
        <v/>
      </c>
      <c r="G163" s="19"/>
    </row>
    <row r="164" customFormat="false" ht="15" hidden="false" customHeight="false" outlineLevel="0" collapsed="false">
      <c r="A164" s="14"/>
      <c r="B164" s="15"/>
      <c r="C164" s="15"/>
      <c r="D164" s="16"/>
      <c r="E164" s="16"/>
      <c r="F164" s="17" t="str">
        <f aca="false">IF($D164="","",ROUND($D164-IF($E164="",0,$E164),2))</f>
        <v/>
      </c>
      <c r="G164" s="15"/>
    </row>
    <row r="165" customFormat="false" ht="15" hidden="false" customHeight="false" outlineLevel="0" collapsed="false">
      <c r="A165" s="18"/>
      <c r="B165" s="19"/>
      <c r="C165" s="19"/>
      <c r="D165" s="20"/>
      <c r="E165" s="20"/>
      <c r="F165" s="17" t="str">
        <f aca="false">IF($D165="","",ROUND($D165-IF($E165="",0,$E165),2))</f>
        <v/>
      </c>
      <c r="G165" s="19"/>
    </row>
    <row r="166" customFormat="false" ht="15" hidden="false" customHeight="false" outlineLevel="0" collapsed="false">
      <c r="A166" s="14"/>
      <c r="B166" s="15"/>
      <c r="C166" s="15"/>
      <c r="D166" s="16"/>
      <c r="E166" s="16"/>
      <c r="F166" s="17" t="str">
        <f aca="false">IF($D166="","",ROUND($D166-IF($E166="",0,$E166),2))</f>
        <v/>
      </c>
      <c r="G166" s="15"/>
    </row>
    <row r="167" customFormat="false" ht="15" hidden="false" customHeight="false" outlineLevel="0" collapsed="false">
      <c r="A167" s="18"/>
      <c r="B167" s="19"/>
      <c r="C167" s="19"/>
      <c r="D167" s="20"/>
      <c r="E167" s="20"/>
      <c r="F167" s="17" t="str">
        <f aca="false">IF($D167="","",ROUND($D167-IF($E167="",0,$E167),2))</f>
        <v/>
      </c>
      <c r="G167" s="19"/>
    </row>
    <row r="168" customFormat="false" ht="15" hidden="false" customHeight="false" outlineLevel="0" collapsed="false">
      <c r="A168" s="14"/>
      <c r="B168" s="15"/>
      <c r="C168" s="15"/>
      <c r="D168" s="16"/>
      <c r="E168" s="16"/>
      <c r="F168" s="17" t="str">
        <f aca="false">IF($D168="","",ROUND($D168-IF($E168="",0,$E168),2))</f>
        <v/>
      </c>
      <c r="G168" s="15"/>
    </row>
    <row r="169" customFormat="false" ht="15" hidden="false" customHeight="false" outlineLevel="0" collapsed="false">
      <c r="A169" s="18"/>
      <c r="B169" s="19"/>
      <c r="C169" s="19"/>
      <c r="D169" s="20"/>
      <c r="E169" s="20"/>
      <c r="F169" s="17" t="str">
        <f aca="false">IF($D169="","",ROUND($D169-IF($E169="",0,$E169),2))</f>
        <v/>
      </c>
      <c r="G169" s="19"/>
    </row>
    <row r="170" customFormat="false" ht="15" hidden="false" customHeight="false" outlineLevel="0" collapsed="false">
      <c r="A170" s="14"/>
      <c r="B170" s="15"/>
      <c r="C170" s="15"/>
      <c r="D170" s="16"/>
      <c r="E170" s="16"/>
      <c r="F170" s="17" t="str">
        <f aca="false">IF($D170="","",ROUND($D170-IF($E170="",0,$E170),2))</f>
        <v/>
      </c>
      <c r="G170" s="15"/>
    </row>
    <row r="171" customFormat="false" ht="15" hidden="false" customHeight="false" outlineLevel="0" collapsed="false">
      <c r="A171" s="18"/>
      <c r="B171" s="19"/>
      <c r="C171" s="19"/>
      <c r="D171" s="20"/>
      <c r="E171" s="20"/>
      <c r="F171" s="17" t="str">
        <f aca="false">IF($D171="","",ROUND($D171-IF($E171="",0,$E171),2))</f>
        <v/>
      </c>
      <c r="G171" s="19"/>
    </row>
    <row r="172" customFormat="false" ht="15" hidden="false" customHeight="false" outlineLevel="0" collapsed="false">
      <c r="A172" s="14"/>
      <c r="B172" s="15"/>
      <c r="C172" s="15"/>
      <c r="D172" s="16"/>
      <c r="E172" s="16"/>
      <c r="F172" s="17" t="str">
        <f aca="false">IF($D172="","",ROUND($D172-IF($E172="",0,$E172),2))</f>
        <v/>
      </c>
      <c r="G172" s="15"/>
    </row>
    <row r="173" customFormat="false" ht="15" hidden="false" customHeight="false" outlineLevel="0" collapsed="false">
      <c r="A173" s="18"/>
      <c r="B173" s="19"/>
      <c r="C173" s="19"/>
      <c r="D173" s="20"/>
      <c r="E173" s="20"/>
      <c r="F173" s="17" t="str">
        <f aca="false">IF($D173="","",ROUND($D173-IF($E173="",0,$E173),2))</f>
        <v/>
      </c>
      <c r="G173" s="19"/>
    </row>
    <row r="174" customFormat="false" ht="15" hidden="false" customHeight="false" outlineLevel="0" collapsed="false">
      <c r="A174" s="14"/>
      <c r="B174" s="15"/>
      <c r="C174" s="15"/>
      <c r="D174" s="16"/>
      <c r="E174" s="16"/>
      <c r="F174" s="17" t="str">
        <f aca="false">IF($D174="","",ROUND($D174-IF($E174="",0,$E174),2))</f>
        <v/>
      </c>
      <c r="G174" s="15"/>
    </row>
    <row r="175" customFormat="false" ht="15" hidden="false" customHeight="false" outlineLevel="0" collapsed="false">
      <c r="A175" s="18"/>
      <c r="B175" s="19"/>
      <c r="C175" s="19"/>
      <c r="D175" s="20"/>
      <c r="E175" s="20"/>
      <c r="F175" s="17" t="str">
        <f aca="false">IF($D175="","",ROUND($D175-IF($E175="",0,$E175),2))</f>
        <v/>
      </c>
      <c r="G175" s="19"/>
    </row>
    <row r="176" customFormat="false" ht="15" hidden="false" customHeight="false" outlineLevel="0" collapsed="false">
      <c r="A176" s="14"/>
      <c r="B176" s="15"/>
      <c r="C176" s="15"/>
      <c r="D176" s="16"/>
      <c r="E176" s="16"/>
      <c r="F176" s="17" t="str">
        <f aca="false">IF($D176="","",ROUND($D176-IF($E176="",0,$E176),2))</f>
        <v/>
      </c>
      <c r="G176" s="15"/>
    </row>
    <row r="177" customFormat="false" ht="15" hidden="false" customHeight="false" outlineLevel="0" collapsed="false">
      <c r="A177" s="18"/>
      <c r="B177" s="19"/>
      <c r="C177" s="19"/>
      <c r="D177" s="20"/>
      <c r="E177" s="20"/>
      <c r="F177" s="17" t="str">
        <f aca="false">IF($D177="","",ROUND($D177-IF($E177="",0,$E177),2))</f>
        <v/>
      </c>
      <c r="G177" s="19"/>
    </row>
    <row r="178" customFormat="false" ht="15" hidden="false" customHeight="false" outlineLevel="0" collapsed="false">
      <c r="A178" s="14"/>
      <c r="B178" s="15"/>
      <c r="C178" s="15"/>
      <c r="D178" s="16"/>
      <c r="E178" s="16"/>
      <c r="F178" s="17" t="str">
        <f aca="false">IF($D178="","",ROUND($D178-IF($E178="",0,$E178),2))</f>
        <v/>
      </c>
      <c r="G178" s="15"/>
    </row>
    <row r="179" customFormat="false" ht="15" hidden="false" customHeight="false" outlineLevel="0" collapsed="false">
      <c r="A179" s="18"/>
      <c r="B179" s="19"/>
      <c r="C179" s="19"/>
      <c r="D179" s="20"/>
      <c r="E179" s="20"/>
      <c r="F179" s="17" t="str">
        <f aca="false">IF($D179="","",ROUND($D179-IF($E179="",0,$E179),2))</f>
        <v/>
      </c>
      <c r="G179" s="19"/>
    </row>
    <row r="180" customFormat="false" ht="15" hidden="false" customHeight="false" outlineLevel="0" collapsed="false">
      <c r="A180" s="14"/>
      <c r="B180" s="15"/>
      <c r="C180" s="15"/>
      <c r="D180" s="16"/>
      <c r="E180" s="16"/>
      <c r="F180" s="17" t="str">
        <f aca="false">IF($D180="","",ROUND($D180-IF($E180="",0,$E180),2))</f>
        <v/>
      </c>
      <c r="G180" s="15"/>
    </row>
    <row r="181" customFormat="false" ht="15" hidden="false" customHeight="false" outlineLevel="0" collapsed="false">
      <c r="A181" s="18"/>
      <c r="B181" s="19"/>
      <c r="C181" s="19"/>
      <c r="D181" s="20"/>
      <c r="E181" s="20"/>
      <c r="F181" s="17" t="str">
        <f aca="false">IF($D181="","",ROUND($D181-IF($E181="",0,$E181),2))</f>
        <v/>
      </c>
      <c r="G181" s="19"/>
    </row>
    <row r="182" customFormat="false" ht="15" hidden="false" customHeight="false" outlineLevel="0" collapsed="false">
      <c r="A182" s="14"/>
      <c r="B182" s="15"/>
      <c r="C182" s="15"/>
      <c r="D182" s="16"/>
      <c r="E182" s="16"/>
      <c r="F182" s="17" t="str">
        <f aca="false">IF($D182="","",ROUND($D182-IF($E182="",0,$E182),2))</f>
        <v/>
      </c>
      <c r="G182" s="15"/>
    </row>
    <row r="183" customFormat="false" ht="15" hidden="false" customHeight="false" outlineLevel="0" collapsed="false">
      <c r="A183" s="18"/>
      <c r="B183" s="19"/>
      <c r="C183" s="19"/>
      <c r="D183" s="20"/>
      <c r="E183" s="20"/>
      <c r="F183" s="17" t="str">
        <f aca="false">IF($D183="","",ROUND($D183-IF($E183="",0,$E183),2))</f>
        <v/>
      </c>
      <c r="G183" s="19"/>
    </row>
    <row r="184" customFormat="false" ht="15" hidden="false" customHeight="false" outlineLevel="0" collapsed="false">
      <c r="A184" s="14"/>
      <c r="B184" s="15"/>
      <c r="C184" s="15"/>
      <c r="D184" s="16"/>
      <c r="E184" s="16"/>
      <c r="F184" s="17" t="str">
        <f aca="false">IF($D184="","",ROUND($D184-IF($E184="",0,$E184),2))</f>
        <v/>
      </c>
      <c r="G184" s="15"/>
    </row>
    <row r="185" customFormat="false" ht="15" hidden="false" customHeight="false" outlineLevel="0" collapsed="false">
      <c r="A185" s="18"/>
      <c r="B185" s="19"/>
      <c r="C185" s="19"/>
      <c r="D185" s="20"/>
      <c r="E185" s="20"/>
      <c r="F185" s="17" t="str">
        <f aca="false">IF($D185="","",ROUND($D185-IF($E185="",0,$E185),2))</f>
        <v/>
      </c>
      <c r="G185" s="19"/>
    </row>
    <row r="186" customFormat="false" ht="15" hidden="false" customHeight="false" outlineLevel="0" collapsed="false">
      <c r="A186" s="14"/>
      <c r="B186" s="15"/>
      <c r="C186" s="15"/>
      <c r="D186" s="16"/>
      <c r="E186" s="16"/>
      <c r="F186" s="17" t="str">
        <f aca="false">IF($D186="","",ROUND($D186-IF($E186="",0,$E186),2))</f>
        <v/>
      </c>
      <c r="G186" s="15"/>
    </row>
    <row r="187" customFormat="false" ht="15" hidden="false" customHeight="false" outlineLevel="0" collapsed="false">
      <c r="A187" s="18"/>
      <c r="B187" s="19"/>
      <c r="C187" s="19"/>
      <c r="D187" s="20"/>
      <c r="E187" s="20"/>
      <c r="F187" s="17" t="str">
        <f aca="false">IF($D187="","",ROUND($D187-IF($E187="",0,$E187),2))</f>
        <v/>
      </c>
      <c r="G187" s="19"/>
    </row>
    <row r="188" customFormat="false" ht="15" hidden="false" customHeight="false" outlineLevel="0" collapsed="false">
      <c r="A188" s="14"/>
      <c r="B188" s="15"/>
      <c r="C188" s="15"/>
      <c r="D188" s="16"/>
      <c r="E188" s="16"/>
      <c r="F188" s="17" t="str">
        <f aca="false">IF($D188="","",ROUND($D188-IF($E188="",0,$E188),2))</f>
        <v/>
      </c>
      <c r="G188" s="15"/>
    </row>
    <row r="189" customFormat="false" ht="15" hidden="false" customHeight="false" outlineLevel="0" collapsed="false">
      <c r="A189" s="18"/>
      <c r="B189" s="19"/>
      <c r="C189" s="19"/>
      <c r="D189" s="20"/>
      <c r="E189" s="20"/>
      <c r="F189" s="17" t="str">
        <f aca="false">IF($D189="","",ROUND($D189-IF($E189="",0,$E189),2))</f>
        <v/>
      </c>
      <c r="G189" s="19"/>
    </row>
    <row r="190" customFormat="false" ht="15" hidden="false" customHeight="false" outlineLevel="0" collapsed="false">
      <c r="A190" s="14"/>
      <c r="B190" s="15"/>
      <c r="C190" s="15"/>
      <c r="D190" s="16"/>
      <c r="E190" s="16"/>
      <c r="F190" s="17" t="str">
        <f aca="false">IF($D190="","",ROUND($D190-IF($E190="",0,$E190),2))</f>
        <v/>
      </c>
      <c r="G190" s="15"/>
    </row>
    <row r="191" customFormat="false" ht="15" hidden="false" customHeight="false" outlineLevel="0" collapsed="false">
      <c r="A191" s="18"/>
      <c r="B191" s="19"/>
      <c r="C191" s="19"/>
      <c r="D191" s="20"/>
      <c r="E191" s="20"/>
      <c r="F191" s="17" t="str">
        <f aca="false">IF($D191="","",ROUND($D191-IF($E191="",0,$E191),2))</f>
        <v/>
      </c>
      <c r="G191" s="19"/>
    </row>
    <row r="192" customFormat="false" ht="15" hidden="false" customHeight="false" outlineLevel="0" collapsed="false">
      <c r="A192" s="14"/>
      <c r="B192" s="15"/>
      <c r="C192" s="15"/>
      <c r="D192" s="16"/>
      <c r="E192" s="16"/>
      <c r="F192" s="17" t="str">
        <f aca="false">IF($D192="","",ROUND($D192-IF($E192="",0,$E192),2))</f>
        <v/>
      </c>
      <c r="G192" s="15"/>
    </row>
    <row r="193" customFormat="false" ht="15" hidden="false" customHeight="false" outlineLevel="0" collapsed="false">
      <c r="A193" s="18"/>
      <c r="B193" s="19"/>
      <c r="C193" s="19"/>
      <c r="D193" s="20"/>
      <c r="E193" s="20"/>
      <c r="F193" s="17" t="str">
        <f aca="false">IF($D193="","",ROUND($D193-IF($E193="",0,$E193),2))</f>
        <v/>
      </c>
      <c r="G193" s="19"/>
    </row>
    <row r="194" customFormat="false" ht="15" hidden="false" customHeight="false" outlineLevel="0" collapsed="false">
      <c r="A194" s="14"/>
      <c r="B194" s="15"/>
      <c r="C194" s="15"/>
      <c r="D194" s="16"/>
      <c r="E194" s="16"/>
      <c r="F194" s="17" t="str">
        <f aca="false">IF($D194="","",ROUND($D194-IF($E194="",0,$E194),2))</f>
        <v/>
      </c>
      <c r="G194" s="15"/>
    </row>
    <row r="195" customFormat="false" ht="15" hidden="false" customHeight="false" outlineLevel="0" collapsed="false">
      <c r="A195" s="18"/>
      <c r="B195" s="19"/>
      <c r="C195" s="19"/>
      <c r="D195" s="20"/>
      <c r="E195" s="20"/>
      <c r="F195" s="17" t="str">
        <f aca="false">IF($D195="","",ROUND($D195-IF($E195="",0,$E195),2))</f>
        <v/>
      </c>
      <c r="G195" s="19"/>
    </row>
    <row r="196" customFormat="false" ht="15" hidden="false" customHeight="false" outlineLevel="0" collapsed="false">
      <c r="A196" s="14"/>
      <c r="B196" s="15"/>
      <c r="C196" s="15"/>
      <c r="D196" s="16"/>
      <c r="E196" s="16"/>
      <c r="F196" s="17" t="str">
        <f aca="false">IF($D196="","",ROUND($D196-IF($E196="",0,$E196),2))</f>
        <v/>
      </c>
      <c r="G196" s="15"/>
    </row>
    <row r="197" customFormat="false" ht="15" hidden="false" customHeight="false" outlineLevel="0" collapsed="false">
      <c r="A197" s="18"/>
      <c r="B197" s="19"/>
      <c r="C197" s="19"/>
      <c r="D197" s="20"/>
      <c r="E197" s="20"/>
      <c r="F197" s="17" t="str">
        <f aca="false">IF($D197="","",ROUND($D197-IF($E197="",0,$E197),2))</f>
        <v/>
      </c>
      <c r="G197" s="19"/>
    </row>
    <row r="198" customFormat="false" ht="15" hidden="false" customHeight="false" outlineLevel="0" collapsed="false">
      <c r="A198" s="14"/>
      <c r="B198" s="15"/>
      <c r="C198" s="15"/>
      <c r="D198" s="16"/>
      <c r="E198" s="16"/>
      <c r="F198" s="17" t="str">
        <f aca="false">IF($D198="","",ROUND($D198-IF($E198="",0,$E198),2))</f>
        <v/>
      </c>
      <c r="G198" s="15"/>
    </row>
    <row r="199" customFormat="false" ht="15" hidden="false" customHeight="false" outlineLevel="0" collapsed="false">
      <c r="A199" s="18"/>
      <c r="B199" s="19"/>
      <c r="C199" s="19"/>
      <c r="D199" s="20"/>
      <c r="E199" s="20"/>
      <c r="F199" s="17" t="str">
        <f aca="false">IF($D199="","",ROUND($D199-IF($E199="",0,$E199),2))</f>
        <v/>
      </c>
      <c r="G199" s="19"/>
    </row>
    <row r="200" customFormat="false" ht="15" hidden="false" customHeight="false" outlineLevel="0" collapsed="false">
      <c r="A200" s="14"/>
      <c r="B200" s="15"/>
      <c r="C200" s="15"/>
      <c r="D200" s="16"/>
      <c r="E200" s="16"/>
      <c r="F200" s="17" t="str">
        <f aca="false">IF($D200="","",ROUND($D200-IF($E200="",0,$E200),2))</f>
        <v/>
      </c>
      <c r="G200" s="15"/>
    </row>
    <row r="201" customFormat="false" ht="15" hidden="false" customHeight="false" outlineLevel="0" collapsed="false">
      <c r="A201" s="18"/>
      <c r="B201" s="19"/>
      <c r="C201" s="19"/>
      <c r="D201" s="20"/>
      <c r="E201" s="20"/>
      <c r="F201" s="17" t="str">
        <f aca="false">IF($D201="","",ROUND($D201-IF($E201="",0,$E201),2))</f>
        <v/>
      </c>
      <c r="G201" s="19"/>
    </row>
    <row r="202" customFormat="false" ht="15" hidden="false" customHeight="false" outlineLevel="0" collapsed="false">
      <c r="A202" s="14"/>
      <c r="B202" s="15"/>
      <c r="C202" s="15"/>
      <c r="D202" s="16"/>
      <c r="E202" s="16"/>
      <c r="F202" s="17" t="str">
        <f aca="false">IF($D202="","",ROUND($D202-IF($E202="",0,$E202),2))</f>
        <v/>
      </c>
      <c r="G202" s="15"/>
    </row>
    <row r="203" customFormat="false" ht="15" hidden="false" customHeight="false" outlineLevel="0" collapsed="false">
      <c r="A203" s="18"/>
      <c r="B203" s="19"/>
      <c r="C203" s="19"/>
      <c r="D203" s="20"/>
      <c r="E203" s="20"/>
      <c r="F203" s="17" t="str">
        <f aca="false">IF($D203="","",ROUND($D203-IF($E203="",0,$E203),2))</f>
        <v/>
      </c>
      <c r="G203" s="19"/>
    </row>
    <row r="204" customFormat="false" ht="15" hidden="false" customHeight="false" outlineLevel="0" collapsed="false">
      <c r="A204" s="14"/>
      <c r="B204" s="15"/>
      <c r="C204" s="15"/>
      <c r="D204" s="16"/>
      <c r="E204" s="16"/>
      <c r="F204" s="17" t="str">
        <f aca="false">IF($D204="","",ROUND($D204-IF($E204="",0,$E204),2))</f>
        <v/>
      </c>
      <c r="G204" s="15"/>
    </row>
    <row r="205" customFormat="false" ht="15" hidden="false" customHeight="false" outlineLevel="0" collapsed="false">
      <c r="A205" s="18"/>
      <c r="B205" s="19"/>
      <c r="C205" s="19"/>
      <c r="D205" s="20"/>
      <c r="E205" s="20"/>
      <c r="F205" s="17" t="str">
        <f aca="false">IF($D205="","",ROUND($D205-IF($E205="",0,$E205),2))</f>
        <v/>
      </c>
      <c r="G205" s="19"/>
    </row>
    <row r="206" customFormat="false" ht="15" hidden="false" customHeight="false" outlineLevel="0" collapsed="false">
      <c r="A206" s="14"/>
      <c r="B206" s="15"/>
      <c r="C206" s="15"/>
      <c r="D206" s="16"/>
      <c r="E206" s="16"/>
      <c r="F206" s="17" t="str">
        <f aca="false">IF($D206="","",ROUND($D206-IF($E206="",0,$E206),2))</f>
        <v/>
      </c>
      <c r="G206" s="15"/>
    </row>
    <row r="207" customFormat="false" ht="15" hidden="false" customHeight="false" outlineLevel="0" collapsed="false">
      <c r="A207" s="18"/>
      <c r="B207" s="19"/>
      <c r="C207" s="19"/>
      <c r="D207" s="20"/>
      <c r="E207" s="20"/>
      <c r="F207" s="17" t="str">
        <f aca="false">IF($D207="","",ROUND($D207-IF($E207="",0,$E207),2))</f>
        <v/>
      </c>
      <c r="G207" s="19"/>
    </row>
    <row r="208" customFormat="false" ht="15" hidden="false" customHeight="false" outlineLevel="0" collapsed="false">
      <c r="A208" s="14"/>
      <c r="B208" s="15"/>
      <c r="C208" s="15"/>
      <c r="D208" s="16"/>
      <c r="E208" s="16"/>
      <c r="F208" s="17" t="str">
        <f aca="false">IF($D208="","",ROUND($D208-IF($E208="",0,$E208),2))</f>
        <v/>
      </c>
      <c r="G208" s="15"/>
    </row>
    <row r="209" customFormat="false" ht="15" hidden="false" customHeight="false" outlineLevel="0" collapsed="false">
      <c r="A209" s="18"/>
      <c r="B209" s="19"/>
      <c r="C209" s="19"/>
      <c r="D209" s="20"/>
      <c r="E209" s="20"/>
      <c r="F209" s="17" t="str">
        <f aca="false">IF($D209="","",ROUND($D209-IF($E209="",0,$E209),2))</f>
        <v/>
      </c>
      <c r="G209" s="19"/>
    </row>
    <row r="210" customFormat="false" ht="15" hidden="false" customHeight="false" outlineLevel="0" collapsed="false">
      <c r="A210" s="14"/>
      <c r="B210" s="15"/>
      <c r="C210" s="15"/>
      <c r="D210" s="16"/>
      <c r="E210" s="16"/>
      <c r="F210" s="17" t="str">
        <f aca="false">IF($D210="","",ROUND($D210-IF($E210="",0,$E210),2))</f>
        <v/>
      </c>
      <c r="G210" s="15"/>
    </row>
    <row r="211" customFormat="false" ht="15" hidden="false" customHeight="false" outlineLevel="0" collapsed="false">
      <c r="A211" s="18"/>
      <c r="B211" s="19"/>
      <c r="C211" s="19"/>
      <c r="D211" s="20"/>
      <c r="E211" s="20"/>
      <c r="F211" s="17" t="str">
        <f aca="false">IF($D211="","",ROUND($D211-IF($E211="",0,$E211),2))</f>
        <v/>
      </c>
      <c r="G211" s="19"/>
    </row>
    <row r="212" customFormat="false" ht="15" hidden="false" customHeight="false" outlineLevel="0" collapsed="false">
      <c r="A212" s="14"/>
      <c r="B212" s="15"/>
      <c r="C212" s="15"/>
      <c r="D212" s="16"/>
      <c r="E212" s="16"/>
      <c r="F212" s="17" t="str">
        <f aca="false">IF($D212="","",ROUND($D212-IF($E212="",0,$E212),2))</f>
        <v/>
      </c>
      <c r="G212" s="15"/>
    </row>
    <row r="213" customFormat="false" ht="15" hidden="false" customHeight="false" outlineLevel="0" collapsed="false">
      <c r="A213" s="18"/>
      <c r="B213" s="19"/>
      <c r="C213" s="19"/>
      <c r="D213" s="20"/>
      <c r="E213" s="20"/>
      <c r="F213" s="17" t="str">
        <f aca="false">IF($D213="","",ROUND($D213-IF($E213="",0,$E213),2))</f>
        <v/>
      </c>
      <c r="G213" s="19"/>
    </row>
    <row r="214" customFormat="false" ht="15" hidden="false" customHeight="false" outlineLevel="0" collapsed="false">
      <c r="A214" s="14"/>
      <c r="B214" s="15"/>
      <c r="C214" s="15"/>
      <c r="D214" s="16"/>
      <c r="E214" s="16"/>
      <c r="F214" s="17" t="str">
        <f aca="false">IF($D214="","",ROUND($D214-IF($E214="",0,$E214),2))</f>
        <v/>
      </c>
      <c r="G214" s="15"/>
    </row>
    <row r="215" customFormat="false" ht="15" hidden="false" customHeight="false" outlineLevel="0" collapsed="false">
      <c r="A215" s="18"/>
      <c r="B215" s="19"/>
      <c r="C215" s="19"/>
      <c r="D215" s="20"/>
      <c r="E215" s="20"/>
      <c r="F215" s="17" t="str">
        <f aca="false">IF($D215="","",ROUND($D215-IF($E215="",0,$E215),2))</f>
        <v/>
      </c>
      <c r="G215" s="19"/>
    </row>
    <row r="216" customFormat="false" ht="15" hidden="false" customHeight="false" outlineLevel="0" collapsed="false">
      <c r="A216" s="14"/>
      <c r="B216" s="15"/>
      <c r="C216" s="15"/>
      <c r="D216" s="16"/>
      <c r="E216" s="16"/>
      <c r="F216" s="17" t="str">
        <f aca="false">IF($D216="","",ROUND($D216-IF($E216="",0,$E216),2))</f>
        <v/>
      </c>
      <c r="G216" s="15"/>
    </row>
    <row r="217" customFormat="false" ht="15" hidden="false" customHeight="false" outlineLevel="0" collapsed="false">
      <c r="A217" s="18"/>
      <c r="B217" s="19"/>
      <c r="C217" s="19"/>
      <c r="D217" s="20"/>
      <c r="E217" s="20"/>
      <c r="F217" s="17" t="str">
        <f aca="false">IF($D217="","",ROUND($D217-IF($E217="",0,$E217),2))</f>
        <v/>
      </c>
      <c r="G217" s="19"/>
    </row>
    <row r="218" customFormat="false" ht="15" hidden="false" customHeight="false" outlineLevel="0" collapsed="false">
      <c r="A218" s="14"/>
      <c r="B218" s="15"/>
      <c r="C218" s="15"/>
      <c r="D218" s="16"/>
      <c r="E218" s="16"/>
      <c r="F218" s="17" t="str">
        <f aca="false">IF($D218="","",ROUND($D218-IF($E218="",0,$E218),2))</f>
        <v/>
      </c>
      <c r="G218" s="15"/>
    </row>
    <row r="219" customFormat="false" ht="15" hidden="false" customHeight="false" outlineLevel="0" collapsed="false">
      <c r="A219" s="18"/>
      <c r="B219" s="19"/>
      <c r="C219" s="19"/>
      <c r="D219" s="20"/>
      <c r="E219" s="20"/>
      <c r="F219" s="17" t="str">
        <f aca="false">IF($D219="","",ROUND($D219-IF($E219="",0,$E219),2))</f>
        <v/>
      </c>
      <c r="G219" s="19"/>
    </row>
    <row r="220" customFormat="false" ht="15" hidden="false" customHeight="false" outlineLevel="0" collapsed="false">
      <c r="A220" s="14"/>
      <c r="B220" s="15"/>
      <c r="C220" s="15"/>
      <c r="D220" s="16"/>
      <c r="E220" s="16"/>
      <c r="F220" s="17" t="str">
        <f aca="false">IF($D220="","",ROUND($D220-IF($E220="",0,$E220),2))</f>
        <v/>
      </c>
      <c r="G220" s="15"/>
    </row>
    <row r="221" customFormat="false" ht="15" hidden="false" customHeight="false" outlineLevel="0" collapsed="false">
      <c r="A221" s="18"/>
      <c r="B221" s="19"/>
      <c r="C221" s="19"/>
      <c r="D221" s="20"/>
      <c r="E221" s="20"/>
      <c r="F221" s="17" t="str">
        <f aca="false">IF($D221="","",ROUND($D221-IF($E221="",0,$E221),2))</f>
        <v/>
      </c>
      <c r="G221" s="19"/>
    </row>
    <row r="222" customFormat="false" ht="15" hidden="false" customHeight="false" outlineLevel="0" collapsed="false">
      <c r="A222" s="14"/>
      <c r="B222" s="15"/>
      <c r="C222" s="15"/>
      <c r="D222" s="16"/>
      <c r="E222" s="16"/>
      <c r="F222" s="17" t="str">
        <f aca="false">IF($D222="","",ROUND($D222-IF($E222="",0,$E222),2))</f>
        <v/>
      </c>
      <c r="G222" s="15"/>
    </row>
    <row r="223" customFormat="false" ht="15" hidden="false" customHeight="false" outlineLevel="0" collapsed="false">
      <c r="A223" s="18"/>
      <c r="B223" s="19"/>
      <c r="C223" s="19"/>
      <c r="D223" s="20"/>
      <c r="E223" s="20"/>
      <c r="F223" s="17" t="str">
        <f aca="false">IF($D223="","",ROUND($D223-IF($E223="",0,$E223),2))</f>
        <v/>
      </c>
      <c r="G223" s="19"/>
    </row>
    <row r="224" customFormat="false" ht="15" hidden="false" customHeight="false" outlineLevel="0" collapsed="false">
      <c r="A224" s="14"/>
      <c r="B224" s="15"/>
      <c r="C224" s="15"/>
      <c r="D224" s="16"/>
      <c r="E224" s="16"/>
      <c r="F224" s="17" t="str">
        <f aca="false">IF($D224="","",ROUND($D224-IF($E224="",0,$E224),2))</f>
        <v/>
      </c>
      <c r="G224" s="15"/>
    </row>
    <row r="225" customFormat="false" ht="15" hidden="false" customHeight="false" outlineLevel="0" collapsed="false">
      <c r="A225" s="18"/>
      <c r="B225" s="19"/>
      <c r="C225" s="19"/>
      <c r="D225" s="20"/>
      <c r="E225" s="20"/>
      <c r="F225" s="17" t="str">
        <f aca="false">IF($D225="","",ROUND($D225-IF($E225="",0,$E225),2))</f>
        <v/>
      </c>
      <c r="G225" s="19"/>
    </row>
    <row r="226" customFormat="false" ht="15" hidden="false" customHeight="false" outlineLevel="0" collapsed="false">
      <c r="A226" s="14"/>
      <c r="B226" s="15"/>
      <c r="C226" s="15"/>
      <c r="D226" s="16"/>
      <c r="E226" s="16"/>
      <c r="F226" s="17" t="str">
        <f aca="false">IF($D226="","",ROUND($D226-IF($E226="",0,$E226),2))</f>
        <v/>
      </c>
      <c r="G226" s="15"/>
    </row>
    <row r="227" customFormat="false" ht="15" hidden="false" customHeight="false" outlineLevel="0" collapsed="false">
      <c r="A227" s="18"/>
      <c r="B227" s="19"/>
      <c r="C227" s="19"/>
      <c r="D227" s="20"/>
      <c r="E227" s="20"/>
      <c r="F227" s="17" t="str">
        <f aca="false">IF($D227="","",ROUND($D227-IF($E227="",0,$E227),2))</f>
        <v/>
      </c>
      <c r="G227" s="19"/>
    </row>
    <row r="228" customFormat="false" ht="15" hidden="false" customHeight="false" outlineLevel="0" collapsed="false">
      <c r="A228" s="14"/>
      <c r="B228" s="15"/>
      <c r="C228" s="15"/>
      <c r="D228" s="16"/>
      <c r="E228" s="16"/>
      <c r="F228" s="17" t="str">
        <f aca="false">IF($D228="","",ROUND($D228-IF($E228="",0,$E228),2))</f>
        <v/>
      </c>
      <c r="G228" s="15"/>
    </row>
    <row r="229" customFormat="false" ht="15" hidden="false" customHeight="false" outlineLevel="0" collapsed="false">
      <c r="A229" s="18"/>
      <c r="B229" s="19"/>
      <c r="C229" s="19"/>
      <c r="D229" s="20"/>
      <c r="E229" s="20"/>
      <c r="F229" s="17" t="str">
        <f aca="false">IF($D229="","",ROUND($D229-IF($E229="",0,$E229),2))</f>
        <v/>
      </c>
      <c r="G229" s="19"/>
    </row>
    <row r="230" customFormat="false" ht="15" hidden="false" customHeight="false" outlineLevel="0" collapsed="false">
      <c r="A230" s="14"/>
      <c r="B230" s="15"/>
      <c r="C230" s="15"/>
      <c r="D230" s="16"/>
      <c r="E230" s="16"/>
      <c r="F230" s="17" t="str">
        <f aca="false">IF($D230="","",ROUND($D230-IF($E230="",0,$E230),2))</f>
        <v/>
      </c>
      <c r="G230" s="15"/>
    </row>
    <row r="231" customFormat="false" ht="15" hidden="false" customHeight="false" outlineLevel="0" collapsed="false">
      <c r="A231" s="18"/>
      <c r="B231" s="19"/>
      <c r="C231" s="19"/>
      <c r="D231" s="20"/>
      <c r="E231" s="20"/>
      <c r="F231" s="17" t="str">
        <f aca="false">IF($D231="","",ROUND($D231-IF($E231="",0,$E231),2))</f>
        <v/>
      </c>
      <c r="G231" s="19"/>
    </row>
    <row r="232" customFormat="false" ht="15" hidden="false" customHeight="false" outlineLevel="0" collapsed="false">
      <c r="A232" s="14"/>
      <c r="B232" s="15"/>
      <c r="C232" s="15"/>
      <c r="D232" s="16"/>
      <c r="E232" s="16"/>
      <c r="F232" s="17" t="str">
        <f aca="false">IF($D232="","",ROUND($D232-IF($E232="",0,$E232),2))</f>
        <v/>
      </c>
      <c r="G232" s="15"/>
    </row>
    <row r="233" customFormat="false" ht="15" hidden="false" customHeight="false" outlineLevel="0" collapsed="false">
      <c r="A233" s="18"/>
      <c r="B233" s="19"/>
      <c r="C233" s="19"/>
      <c r="D233" s="20"/>
      <c r="E233" s="20"/>
      <c r="F233" s="17" t="str">
        <f aca="false">IF($D233="","",ROUND($D233-IF($E233="",0,$E233),2))</f>
        <v/>
      </c>
      <c r="G233" s="19"/>
    </row>
    <row r="234" customFormat="false" ht="15" hidden="false" customHeight="false" outlineLevel="0" collapsed="false">
      <c r="A234" s="14"/>
      <c r="B234" s="15"/>
      <c r="C234" s="15"/>
      <c r="D234" s="16"/>
      <c r="E234" s="16"/>
      <c r="F234" s="17" t="str">
        <f aca="false">IF($D234="","",ROUND($D234-IF($E234="",0,$E234),2))</f>
        <v/>
      </c>
      <c r="G234" s="15"/>
    </row>
    <row r="235" customFormat="false" ht="15" hidden="false" customHeight="false" outlineLevel="0" collapsed="false">
      <c r="A235" s="18"/>
      <c r="B235" s="19"/>
      <c r="C235" s="19"/>
      <c r="D235" s="20"/>
      <c r="E235" s="20"/>
      <c r="F235" s="17" t="str">
        <f aca="false">IF($D235="","",ROUND($D235-IF($E235="",0,$E235),2))</f>
        <v/>
      </c>
      <c r="G235" s="19"/>
    </row>
    <row r="236" customFormat="false" ht="15" hidden="false" customHeight="false" outlineLevel="0" collapsed="false">
      <c r="A236" s="14"/>
      <c r="B236" s="15"/>
      <c r="C236" s="15"/>
      <c r="D236" s="16"/>
      <c r="E236" s="16"/>
      <c r="F236" s="17" t="str">
        <f aca="false">IF($D236="","",ROUND($D236-IF($E236="",0,$E236),2))</f>
        <v/>
      </c>
      <c r="G236" s="15"/>
    </row>
    <row r="237" customFormat="false" ht="15" hidden="false" customHeight="false" outlineLevel="0" collapsed="false">
      <c r="A237" s="18"/>
      <c r="B237" s="19"/>
      <c r="C237" s="19"/>
      <c r="D237" s="20"/>
      <c r="E237" s="20"/>
      <c r="F237" s="17" t="str">
        <f aca="false">IF($D237="","",ROUND($D237-IF($E237="",0,$E237),2))</f>
        <v/>
      </c>
      <c r="G237" s="19"/>
    </row>
    <row r="238" customFormat="false" ht="15" hidden="false" customHeight="false" outlineLevel="0" collapsed="false">
      <c r="A238" s="14"/>
      <c r="B238" s="15"/>
      <c r="C238" s="15"/>
      <c r="D238" s="16"/>
      <c r="E238" s="16"/>
      <c r="F238" s="17" t="str">
        <f aca="false">IF($D238="","",ROUND($D238-IF($E238="",0,$E238),2))</f>
        <v/>
      </c>
      <c r="G238" s="15"/>
    </row>
    <row r="239" customFormat="false" ht="15" hidden="false" customHeight="false" outlineLevel="0" collapsed="false">
      <c r="A239" s="18"/>
      <c r="B239" s="19"/>
      <c r="C239" s="19"/>
      <c r="D239" s="20"/>
      <c r="E239" s="20"/>
      <c r="F239" s="17" t="str">
        <f aca="false">IF($D239="","",ROUND($D239-IF($E239="",0,$E239),2))</f>
        <v/>
      </c>
      <c r="G239" s="19"/>
    </row>
    <row r="240" customFormat="false" ht="15" hidden="false" customHeight="false" outlineLevel="0" collapsed="false">
      <c r="A240" s="14"/>
      <c r="B240" s="15"/>
      <c r="C240" s="15"/>
      <c r="D240" s="16"/>
      <c r="E240" s="16"/>
      <c r="F240" s="17" t="str">
        <f aca="false">IF($D240="","",ROUND($D240-IF($E240="",0,$E240),2))</f>
        <v/>
      </c>
      <c r="G240" s="15"/>
    </row>
    <row r="241" customFormat="false" ht="15" hidden="false" customHeight="false" outlineLevel="0" collapsed="false">
      <c r="A241" s="18"/>
      <c r="B241" s="19"/>
      <c r="C241" s="19"/>
      <c r="D241" s="20"/>
      <c r="E241" s="20"/>
      <c r="F241" s="17" t="str">
        <f aca="false">IF($D241="","",ROUND($D241-IF($E241="",0,$E241),2))</f>
        <v/>
      </c>
      <c r="G241" s="19"/>
    </row>
    <row r="242" customFormat="false" ht="15" hidden="false" customHeight="false" outlineLevel="0" collapsed="false">
      <c r="A242" s="14"/>
      <c r="B242" s="15"/>
      <c r="C242" s="15"/>
      <c r="D242" s="16"/>
      <c r="E242" s="16"/>
      <c r="F242" s="17" t="str">
        <f aca="false">IF($D242="","",ROUND($D242-IF($E242="",0,$E242),2))</f>
        <v/>
      </c>
      <c r="G242" s="15"/>
    </row>
    <row r="243" customFormat="false" ht="15" hidden="false" customHeight="false" outlineLevel="0" collapsed="false">
      <c r="A243" s="18"/>
      <c r="B243" s="19"/>
      <c r="C243" s="19"/>
      <c r="D243" s="20"/>
      <c r="E243" s="20"/>
      <c r="F243" s="17" t="str">
        <f aca="false">IF($D243="","",ROUND($D243-IF($E243="",0,$E243),2))</f>
        <v/>
      </c>
      <c r="G243" s="19"/>
    </row>
    <row r="244" customFormat="false" ht="15" hidden="false" customHeight="false" outlineLevel="0" collapsed="false">
      <c r="A244" s="14"/>
      <c r="B244" s="15"/>
      <c r="C244" s="15"/>
      <c r="D244" s="16"/>
      <c r="E244" s="16"/>
      <c r="F244" s="17" t="str">
        <f aca="false">IF($D244="","",ROUND($D244-IF($E244="",0,$E244),2))</f>
        <v/>
      </c>
      <c r="G244" s="15"/>
    </row>
    <row r="245" customFormat="false" ht="15" hidden="false" customHeight="false" outlineLevel="0" collapsed="false">
      <c r="A245" s="18"/>
      <c r="B245" s="19"/>
      <c r="C245" s="19"/>
      <c r="D245" s="20"/>
      <c r="E245" s="20"/>
      <c r="F245" s="17" t="str">
        <f aca="false">IF($D245="","",ROUND($D245-IF($E245="",0,$E245),2))</f>
        <v/>
      </c>
      <c r="G245" s="19"/>
    </row>
    <row r="246" customFormat="false" ht="15" hidden="false" customHeight="false" outlineLevel="0" collapsed="false">
      <c r="A246" s="14"/>
      <c r="B246" s="15"/>
      <c r="C246" s="15"/>
      <c r="D246" s="16"/>
      <c r="E246" s="16"/>
      <c r="F246" s="17" t="str">
        <f aca="false">IF($D246="","",ROUND($D246-IF($E246="",0,$E246),2))</f>
        <v/>
      </c>
      <c r="G246" s="15"/>
    </row>
    <row r="247" customFormat="false" ht="15" hidden="false" customHeight="false" outlineLevel="0" collapsed="false">
      <c r="A247" s="18"/>
      <c r="B247" s="19"/>
      <c r="C247" s="19"/>
      <c r="D247" s="20"/>
      <c r="E247" s="20"/>
      <c r="F247" s="17" t="str">
        <f aca="false">IF($D247="","",ROUND($D247-IF($E247="",0,$E247),2))</f>
        <v/>
      </c>
      <c r="G247" s="19"/>
    </row>
    <row r="248" customFormat="false" ht="15" hidden="false" customHeight="false" outlineLevel="0" collapsed="false">
      <c r="A248" s="14"/>
      <c r="B248" s="15"/>
      <c r="C248" s="15"/>
      <c r="D248" s="16"/>
      <c r="E248" s="16"/>
      <c r="F248" s="17" t="str">
        <f aca="false">IF($D248="","",ROUND($D248-IF($E248="",0,$E248),2))</f>
        <v/>
      </c>
      <c r="G248" s="15"/>
    </row>
    <row r="249" customFormat="false" ht="15" hidden="false" customHeight="false" outlineLevel="0" collapsed="false">
      <c r="A249" s="18"/>
      <c r="B249" s="19"/>
      <c r="C249" s="19"/>
      <c r="D249" s="20"/>
      <c r="E249" s="20"/>
      <c r="F249" s="17" t="str">
        <f aca="false">IF($D249="","",ROUND($D249-IF($E249="",0,$E249),2))</f>
        <v/>
      </c>
      <c r="G249" s="19"/>
    </row>
    <row r="250" customFormat="false" ht="15" hidden="false" customHeight="false" outlineLevel="0" collapsed="false">
      <c r="A250" s="14"/>
      <c r="B250" s="15"/>
      <c r="C250" s="15"/>
      <c r="D250" s="16"/>
      <c r="E250" s="16"/>
      <c r="F250" s="17" t="str">
        <f aca="false">IF($D250="","",ROUND($D250-IF($E250="",0,$E250),2))</f>
        <v/>
      </c>
      <c r="G250" s="15"/>
    </row>
    <row r="251" customFormat="false" ht="15" hidden="false" customHeight="false" outlineLevel="0" collapsed="false">
      <c r="A251" s="18"/>
      <c r="B251" s="19"/>
      <c r="C251" s="19"/>
      <c r="D251" s="20"/>
      <c r="E251" s="20"/>
      <c r="F251" s="17" t="str">
        <f aca="false">IF($D251="","",ROUND($D251-IF($E251="",0,$E251),2))</f>
        <v/>
      </c>
      <c r="G251" s="19"/>
    </row>
    <row r="252" customFormat="false" ht="15" hidden="false" customHeight="false" outlineLevel="0" collapsed="false">
      <c r="A252" s="14"/>
      <c r="B252" s="15"/>
      <c r="C252" s="15"/>
      <c r="D252" s="16"/>
      <c r="E252" s="16"/>
      <c r="F252" s="17" t="str">
        <f aca="false">IF($D252="","",ROUND($D252-IF($E252="",0,$E252),2))</f>
        <v/>
      </c>
      <c r="G252" s="15"/>
    </row>
    <row r="253" customFormat="false" ht="15" hidden="false" customHeight="false" outlineLevel="0" collapsed="false">
      <c r="A253" s="18"/>
      <c r="B253" s="19"/>
      <c r="C253" s="19"/>
      <c r="D253" s="20"/>
      <c r="E253" s="20"/>
      <c r="F253" s="17" t="str">
        <f aca="false">IF($D253="","",ROUND($D253-IF($E253="",0,$E253),2))</f>
        <v/>
      </c>
      <c r="G253" s="19"/>
    </row>
    <row r="254" customFormat="false" ht="15" hidden="false" customHeight="false" outlineLevel="0" collapsed="false">
      <c r="A254" s="14"/>
      <c r="B254" s="15"/>
      <c r="C254" s="15"/>
      <c r="D254" s="16"/>
      <c r="E254" s="16"/>
      <c r="F254" s="17" t="str">
        <f aca="false">IF($D254="","",ROUND($D254-IF($E254="",0,$E254),2))</f>
        <v/>
      </c>
      <c r="G254" s="15"/>
    </row>
    <row r="255" customFormat="false" ht="15" hidden="false" customHeight="false" outlineLevel="0" collapsed="false">
      <c r="A255" s="18"/>
      <c r="B255" s="19"/>
      <c r="C255" s="19"/>
      <c r="D255" s="20"/>
      <c r="E255" s="20"/>
      <c r="F255" s="17" t="str">
        <f aca="false">IF($D255="","",ROUND($D255-IF($E255="",0,$E255),2))</f>
        <v/>
      </c>
      <c r="G255" s="19"/>
    </row>
    <row r="256" customFormat="false" ht="15" hidden="false" customHeight="false" outlineLevel="0" collapsed="false">
      <c r="A256" s="14"/>
      <c r="B256" s="15"/>
      <c r="C256" s="15"/>
      <c r="D256" s="16"/>
      <c r="E256" s="16"/>
      <c r="F256" s="17" t="str">
        <f aca="false">IF($D256="","",ROUND($D256-IF($E256="",0,$E256),2))</f>
        <v/>
      </c>
      <c r="G256" s="15"/>
    </row>
    <row r="257" customFormat="false" ht="15" hidden="false" customHeight="false" outlineLevel="0" collapsed="false">
      <c r="A257" s="18"/>
      <c r="B257" s="19"/>
      <c r="C257" s="19"/>
      <c r="D257" s="20"/>
      <c r="E257" s="20"/>
      <c r="F257" s="17" t="str">
        <f aca="false">IF($D257="","",ROUND($D257-IF($E257="",0,$E257),2))</f>
        <v/>
      </c>
      <c r="G257" s="19"/>
    </row>
    <row r="258" customFormat="false" ht="15" hidden="false" customHeight="false" outlineLevel="0" collapsed="false">
      <c r="A258" s="14"/>
      <c r="B258" s="15"/>
      <c r="C258" s="15"/>
      <c r="D258" s="16"/>
      <c r="E258" s="16"/>
      <c r="F258" s="17" t="str">
        <f aca="false">IF($D258="","",ROUND($D258-IF($E258="",0,$E258),2))</f>
        <v/>
      </c>
      <c r="G258" s="15"/>
    </row>
    <row r="259" customFormat="false" ht="15" hidden="false" customHeight="false" outlineLevel="0" collapsed="false">
      <c r="A259" s="18"/>
      <c r="B259" s="19"/>
      <c r="C259" s="19"/>
      <c r="D259" s="20"/>
      <c r="E259" s="20"/>
      <c r="F259" s="17" t="str">
        <f aca="false">IF($D259="","",ROUND($D259-IF($E259="",0,$E259),2))</f>
        <v/>
      </c>
      <c r="G259" s="19"/>
    </row>
    <row r="260" customFormat="false" ht="15" hidden="false" customHeight="false" outlineLevel="0" collapsed="false">
      <c r="A260" s="14"/>
      <c r="B260" s="15"/>
      <c r="C260" s="15"/>
      <c r="D260" s="16"/>
      <c r="E260" s="16"/>
      <c r="F260" s="17" t="str">
        <f aca="false">IF($D260="","",ROUND($D260-IF($E260="",0,$E260),2))</f>
        <v/>
      </c>
      <c r="G260" s="15"/>
    </row>
    <row r="261" customFormat="false" ht="15" hidden="false" customHeight="false" outlineLevel="0" collapsed="false">
      <c r="A261" s="18"/>
      <c r="B261" s="19"/>
      <c r="C261" s="19"/>
      <c r="D261" s="20"/>
      <c r="E261" s="20"/>
      <c r="F261" s="17" t="str">
        <f aca="false">IF($D261="","",ROUND($D261-IF($E261="",0,$E261),2))</f>
        <v/>
      </c>
      <c r="G261" s="19"/>
    </row>
    <row r="262" customFormat="false" ht="15" hidden="false" customHeight="false" outlineLevel="0" collapsed="false">
      <c r="A262" s="14"/>
      <c r="B262" s="15"/>
      <c r="C262" s="15"/>
      <c r="D262" s="16"/>
      <c r="E262" s="16"/>
      <c r="F262" s="17" t="str">
        <f aca="false">IF($D262="","",ROUND($D262-IF($E262="",0,$E262),2))</f>
        <v/>
      </c>
      <c r="G262" s="15"/>
    </row>
    <row r="263" customFormat="false" ht="15" hidden="false" customHeight="false" outlineLevel="0" collapsed="false">
      <c r="A263" s="18"/>
      <c r="B263" s="19"/>
      <c r="C263" s="19"/>
      <c r="D263" s="20"/>
      <c r="E263" s="20"/>
      <c r="F263" s="17" t="str">
        <f aca="false">IF($D263="","",ROUND($D263-IF($E263="",0,$E263),2))</f>
        <v/>
      </c>
      <c r="G263" s="19"/>
    </row>
    <row r="264" customFormat="false" ht="15" hidden="false" customHeight="false" outlineLevel="0" collapsed="false">
      <c r="A264" s="14"/>
      <c r="B264" s="15"/>
      <c r="C264" s="15"/>
      <c r="D264" s="16"/>
      <c r="E264" s="16"/>
      <c r="F264" s="17" t="str">
        <f aca="false">IF($D264="","",ROUND($D264-IF($E264="",0,$E264),2))</f>
        <v/>
      </c>
      <c r="G264" s="15"/>
    </row>
    <row r="265" customFormat="false" ht="15" hidden="false" customHeight="false" outlineLevel="0" collapsed="false">
      <c r="A265" s="18"/>
      <c r="B265" s="19"/>
      <c r="C265" s="19"/>
      <c r="D265" s="20"/>
      <c r="E265" s="20"/>
      <c r="F265" s="17" t="str">
        <f aca="false">IF($D265="","",ROUND($D265-IF($E265="",0,$E265),2))</f>
        <v/>
      </c>
      <c r="G265" s="19"/>
    </row>
    <row r="266" customFormat="false" ht="15" hidden="false" customHeight="false" outlineLevel="0" collapsed="false">
      <c r="A266" s="14"/>
      <c r="B266" s="15"/>
      <c r="C266" s="15"/>
      <c r="D266" s="16"/>
      <c r="E266" s="16"/>
      <c r="F266" s="17" t="str">
        <f aca="false">IF($D266="","",ROUND($D266-IF($E266="",0,$E266),2))</f>
        <v/>
      </c>
      <c r="G266" s="15"/>
    </row>
    <row r="267" customFormat="false" ht="15" hidden="false" customHeight="false" outlineLevel="0" collapsed="false">
      <c r="A267" s="18"/>
      <c r="B267" s="19"/>
      <c r="C267" s="19"/>
      <c r="D267" s="20"/>
      <c r="E267" s="20"/>
      <c r="F267" s="17" t="str">
        <f aca="false">IF($D267="","",ROUND($D267-IF($E267="",0,$E267),2))</f>
        <v/>
      </c>
      <c r="G267" s="19"/>
    </row>
    <row r="268" customFormat="false" ht="15" hidden="false" customHeight="false" outlineLevel="0" collapsed="false">
      <c r="A268" s="14"/>
      <c r="B268" s="15"/>
      <c r="C268" s="15"/>
      <c r="D268" s="16"/>
      <c r="E268" s="16"/>
      <c r="F268" s="17" t="str">
        <f aca="false">IF($D268="","",ROUND($D268-IF($E268="",0,$E268),2))</f>
        <v/>
      </c>
      <c r="G268" s="15"/>
    </row>
    <row r="269" customFormat="false" ht="15" hidden="false" customHeight="false" outlineLevel="0" collapsed="false">
      <c r="A269" s="18"/>
      <c r="B269" s="19"/>
      <c r="C269" s="19"/>
      <c r="D269" s="20"/>
      <c r="E269" s="20"/>
      <c r="F269" s="17" t="str">
        <f aca="false">IF($D269="","",ROUND($D269-IF($E269="",0,$E269),2))</f>
        <v/>
      </c>
      <c r="G269" s="19"/>
    </row>
    <row r="270" customFormat="false" ht="15" hidden="false" customHeight="false" outlineLevel="0" collapsed="false">
      <c r="A270" s="14"/>
      <c r="B270" s="15"/>
      <c r="C270" s="15"/>
      <c r="D270" s="16"/>
      <c r="E270" s="16"/>
      <c r="F270" s="17" t="str">
        <f aca="false">IF($D270="","",ROUND($D270-IF($E270="",0,$E270),2))</f>
        <v/>
      </c>
      <c r="G270" s="15"/>
    </row>
    <row r="271" customFormat="false" ht="15" hidden="false" customHeight="false" outlineLevel="0" collapsed="false">
      <c r="A271" s="18"/>
      <c r="B271" s="19"/>
      <c r="C271" s="19"/>
      <c r="D271" s="20"/>
      <c r="E271" s="20"/>
      <c r="F271" s="17" t="str">
        <f aca="false">IF($D271="","",ROUND($D271-IF($E271="",0,$E271),2))</f>
        <v/>
      </c>
      <c r="G271" s="19"/>
    </row>
    <row r="272" customFormat="false" ht="15" hidden="false" customHeight="false" outlineLevel="0" collapsed="false">
      <c r="A272" s="14"/>
      <c r="B272" s="15"/>
      <c r="C272" s="15"/>
      <c r="D272" s="16"/>
      <c r="E272" s="16"/>
      <c r="F272" s="17" t="str">
        <f aca="false">IF($D272="","",ROUND($D272-IF($E272="",0,$E272),2))</f>
        <v/>
      </c>
      <c r="G272" s="15"/>
    </row>
    <row r="273" customFormat="false" ht="15" hidden="false" customHeight="false" outlineLevel="0" collapsed="false">
      <c r="A273" s="18"/>
      <c r="B273" s="19"/>
      <c r="C273" s="19"/>
      <c r="D273" s="20"/>
      <c r="E273" s="20"/>
      <c r="F273" s="17" t="str">
        <f aca="false">IF($D273="","",ROUND($D273-IF($E273="",0,$E273),2))</f>
        <v/>
      </c>
      <c r="G273" s="19"/>
    </row>
    <row r="274" customFormat="false" ht="15" hidden="false" customHeight="false" outlineLevel="0" collapsed="false">
      <c r="A274" s="14"/>
      <c r="B274" s="15"/>
      <c r="C274" s="15"/>
      <c r="D274" s="16"/>
      <c r="E274" s="16"/>
      <c r="F274" s="17" t="str">
        <f aca="false">IF($D274="","",ROUND($D274-IF($E274="",0,$E274),2))</f>
        <v/>
      </c>
      <c r="G274" s="15"/>
    </row>
    <row r="275" customFormat="false" ht="15" hidden="false" customHeight="false" outlineLevel="0" collapsed="false">
      <c r="A275" s="18"/>
      <c r="B275" s="19"/>
      <c r="C275" s="19"/>
      <c r="D275" s="20"/>
      <c r="E275" s="20"/>
      <c r="F275" s="17" t="str">
        <f aca="false">IF($D275="","",ROUND($D275-IF($E275="",0,$E275),2))</f>
        <v/>
      </c>
      <c r="G275" s="19"/>
    </row>
    <row r="276" customFormat="false" ht="15" hidden="false" customHeight="false" outlineLevel="0" collapsed="false">
      <c r="A276" s="14"/>
      <c r="B276" s="15"/>
      <c r="C276" s="15"/>
      <c r="D276" s="16"/>
      <c r="E276" s="16"/>
      <c r="F276" s="17" t="str">
        <f aca="false">IF($D276="","",ROUND($D276-IF($E276="",0,$E276),2))</f>
        <v/>
      </c>
      <c r="G276" s="15"/>
    </row>
    <row r="277" customFormat="false" ht="15" hidden="false" customHeight="false" outlineLevel="0" collapsed="false">
      <c r="A277" s="18"/>
      <c r="B277" s="19"/>
      <c r="C277" s="19"/>
      <c r="D277" s="20"/>
      <c r="E277" s="20"/>
      <c r="F277" s="17" t="str">
        <f aca="false">IF($D277="","",ROUND($D277-IF($E277="",0,$E277),2))</f>
        <v/>
      </c>
      <c r="G277" s="19"/>
    </row>
    <row r="278" customFormat="false" ht="15" hidden="false" customHeight="false" outlineLevel="0" collapsed="false">
      <c r="A278" s="14"/>
      <c r="B278" s="15"/>
      <c r="C278" s="15"/>
      <c r="D278" s="16"/>
      <c r="E278" s="16"/>
      <c r="F278" s="17" t="str">
        <f aca="false">IF($D278="","",ROUND($D278-IF($E278="",0,$E278),2))</f>
        <v/>
      </c>
      <c r="G278" s="15"/>
    </row>
    <row r="279" customFormat="false" ht="15" hidden="false" customHeight="false" outlineLevel="0" collapsed="false">
      <c r="A279" s="18"/>
      <c r="B279" s="19"/>
      <c r="C279" s="19"/>
      <c r="D279" s="20"/>
      <c r="E279" s="20"/>
      <c r="F279" s="17" t="str">
        <f aca="false">IF($D279="","",ROUND($D279-IF($E279="",0,$E279),2))</f>
        <v/>
      </c>
      <c r="G279" s="19"/>
    </row>
    <row r="280" customFormat="false" ht="15" hidden="false" customHeight="false" outlineLevel="0" collapsed="false">
      <c r="A280" s="14"/>
      <c r="B280" s="15"/>
      <c r="C280" s="15"/>
      <c r="D280" s="16"/>
      <c r="E280" s="16"/>
      <c r="F280" s="17" t="str">
        <f aca="false">IF($D280="","",ROUND($D280-IF($E280="",0,$E280),2))</f>
        <v/>
      </c>
      <c r="G280" s="15"/>
    </row>
    <row r="281" customFormat="false" ht="15" hidden="false" customHeight="false" outlineLevel="0" collapsed="false">
      <c r="A281" s="18"/>
      <c r="B281" s="19"/>
      <c r="C281" s="19"/>
      <c r="D281" s="20"/>
      <c r="E281" s="20"/>
      <c r="F281" s="17" t="str">
        <f aca="false">IF($D281="","",ROUND($D281-IF($E281="",0,$E281),2))</f>
        <v/>
      </c>
      <c r="G281" s="19"/>
    </row>
    <row r="282" customFormat="false" ht="15" hidden="false" customHeight="false" outlineLevel="0" collapsed="false">
      <c r="A282" s="14"/>
      <c r="B282" s="15"/>
      <c r="C282" s="15"/>
      <c r="D282" s="16"/>
      <c r="E282" s="16"/>
      <c r="F282" s="17" t="str">
        <f aca="false">IF($D282="","",ROUND($D282-IF($E282="",0,$E282),2))</f>
        <v/>
      </c>
      <c r="G282" s="15"/>
    </row>
    <row r="283" customFormat="false" ht="15" hidden="false" customHeight="false" outlineLevel="0" collapsed="false">
      <c r="A283" s="18"/>
      <c r="B283" s="19"/>
      <c r="C283" s="19"/>
      <c r="D283" s="20"/>
      <c r="E283" s="20"/>
      <c r="F283" s="17" t="str">
        <f aca="false">IF($D283="","",ROUND($D283-IF($E283="",0,$E283),2))</f>
        <v/>
      </c>
      <c r="G283" s="19"/>
    </row>
    <row r="284" customFormat="false" ht="15" hidden="false" customHeight="false" outlineLevel="0" collapsed="false">
      <c r="A284" s="14"/>
      <c r="B284" s="15"/>
      <c r="C284" s="15"/>
      <c r="D284" s="16"/>
      <c r="E284" s="16"/>
      <c r="F284" s="17" t="str">
        <f aca="false">IF($D284="","",ROUND($D284-IF($E284="",0,$E284),2))</f>
        <v/>
      </c>
      <c r="G284" s="15"/>
    </row>
    <row r="285" customFormat="false" ht="15" hidden="false" customHeight="false" outlineLevel="0" collapsed="false">
      <c r="A285" s="18"/>
      <c r="B285" s="19"/>
      <c r="C285" s="19"/>
      <c r="D285" s="20"/>
      <c r="E285" s="20"/>
      <c r="F285" s="17" t="str">
        <f aca="false">IF($D285="","",ROUND($D285-IF($E285="",0,$E285),2))</f>
        <v/>
      </c>
      <c r="G285" s="19"/>
    </row>
    <row r="286" customFormat="false" ht="15" hidden="false" customHeight="false" outlineLevel="0" collapsed="false">
      <c r="A286" s="14"/>
      <c r="B286" s="15"/>
      <c r="C286" s="15"/>
      <c r="D286" s="16"/>
      <c r="E286" s="16"/>
      <c r="F286" s="17" t="str">
        <f aca="false">IF($D286="","",ROUND($D286-IF($E286="",0,$E286),2))</f>
        <v/>
      </c>
      <c r="G286" s="15"/>
    </row>
    <row r="287" customFormat="false" ht="15" hidden="false" customHeight="false" outlineLevel="0" collapsed="false">
      <c r="A287" s="18"/>
      <c r="B287" s="19"/>
      <c r="C287" s="19"/>
      <c r="D287" s="20"/>
      <c r="E287" s="20"/>
      <c r="F287" s="17" t="str">
        <f aca="false">IF($D287="","",ROUND($D287-IF($E287="",0,$E287),2))</f>
        <v/>
      </c>
      <c r="G287" s="19"/>
    </row>
    <row r="288" customFormat="false" ht="15" hidden="false" customHeight="false" outlineLevel="0" collapsed="false">
      <c r="A288" s="14"/>
      <c r="B288" s="15"/>
      <c r="C288" s="15"/>
      <c r="D288" s="16"/>
      <c r="E288" s="16"/>
      <c r="F288" s="17" t="str">
        <f aca="false">IF($D288="","",ROUND($D288-IF($E288="",0,$E288),2))</f>
        <v/>
      </c>
      <c r="G288" s="15"/>
    </row>
    <row r="289" customFormat="false" ht="15" hidden="false" customHeight="false" outlineLevel="0" collapsed="false">
      <c r="A289" s="18"/>
      <c r="B289" s="19"/>
      <c r="C289" s="19"/>
      <c r="D289" s="20"/>
      <c r="E289" s="20"/>
      <c r="F289" s="17" t="str">
        <f aca="false">IF($D289="","",ROUND($D289-IF($E289="",0,$E289),2))</f>
        <v/>
      </c>
      <c r="G289" s="19"/>
    </row>
    <row r="290" customFormat="false" ht="15" hidden="false" customHeight="false" outlineLevel="0" collapsed="false">
      <c r="A290" s="14"/>
      <c r="B290" s="15"/>
      <c r="C290" s="15"/>
      <c r="D290" s="16"/>
      <c r="E290" s="16"/>
      <c r="F290" s="17" t="str">
        <f aca="false">IF($D290="","",ROUND($D290-IF($E290="",0,$E290),2))</f>
        <v/>
      </c>
      <c r="G290" s="15"/>
    </row>
    <row r="291" customFormat="false" ht="15" hidden="false" customHeight="false" outlineLevel="0" collapsed="false">
      <c r="A291" s="18"/>
      <c r="B291" s="19"/>
      <c r="C291" s="19"/>
      <c r="D291" s="20"/>
      <c r="E291" s="20"/>
      <c r="F291" s="17" t="str">
        <f aca="false">IF($D291="","",ROUND($D291-IF($E291="",0,$E291),2))</f>
        <v/>
      </c>
      <c r="G291" s="19"/>
    </row>
    <row r="292" customFormat="false" ht="15" hidden="false" customHeight="false" outlineLevel="0" collapsed="false">
      <c r="A292" s="14"/>
      <c r="B292" s="15"/>
      <c r="C292" s="15"/>
      <c r="D292" s="16"/>
      <c r="E292" s="16"/>
      <c r="F292" s="17" t="str">
        <f aca="false">IF($D292="","",ROUND($D292-IF($E292="",0,$E292),2))</f>
        <v/>
      </c>
      <c r="G292" s="15"/>
    </row>
    <row r="293" customFormat="false" ht="15" hidden="false" customHeight="false" outlineLevel="0" collapsed="false">
      <c r="A293" s="18"/>
      <c r="B293" s="19"/>
      <c r="C293" s="19"/>
      <c r="D293" s="20"/>
      <c r="E293" s="20"/>
      <c r="F293" s="17" t="str">
        <f aca="false">IF($D293="","",ROUND($D293-IF($E293="",0,$E293),2))</f>
        <v/>
      </c>
      <c r="G293" s="19"/>
    </row>
    <row r="294" customFormat="false" ht="15" hidden="false" customHeight="false" outlineLevel="0" collapsed="false">
      <c r="A294" s="14"/>
      <c r="B294" s="15"/>
      <c r="C294" s="15"/>
      <c r="D294" s="16"/>
      <c r="E294" s="16"/>
      <c r="F294" s="17" t="str">
        <f aca="false">IF($D294="","",ROUND($D294-IF($E294="",0,$E294),2))</f>
        <v/>
      </c>
      <c r="G294" s="15"/>
    </row>
    <row r="295" customFormat="false" ht="15" hidden="false" customHeight="false" outlineLevel="0" collapsed="false">
      <c r="A295" s="18"/>
      <c r="B295" s="19"/>
      <c r="C295" s="19"/>
      <c r="D295" s="20"/>
      <c r="E295" s="20"/>
      <c r="F295" s="17" t="str">
        <f aca="false">IF($D295="","",ROUND($D295-IF($E295="",0,$E295),2))</f>
        <v/>
      </c>
      <c r="G295" s="19"/>
    </row>
    <row r="296" customFormat="false" ht="15" hidden="false" customHeight="false" outlineLevel="0" collapsed="false">
      <c r="A296" s="14"/>
      <c r="B296" s="15"/>
      <c r="C296" s="15"/>
      <c r="D296" s="16"/>
      <c r="E296" s="16"/>
      <c r="F296" s="17" t="str">
        <f aca="false">IF($D296="","",ROUND($D296-IF($E296="",0,$E296),2))</f>
        <v/>
      </c>
      <c r="G296" s="15"/>
    </row>
    <row r="297" customFormat="false" ht="15" hidden="false" customHeight="false" outlineLevel="0" collapsed="false">
      <c r="A297" s="18"/>
      <c r="B297" s="19"/>
      <c r="C297" s="19"/>
      <c r="D297" s="20"/>
      <c r="E297" s="20"/>
      <c r="F297" s="17" t="str">
        <f aca="false">IF($D297="","",ROUND($D297-IF($E297="",0,$E297),2))</f>
        <v/>
      </c>
      <c r="G297" s="19"/>
    </row>
    <row r="298" customFormat="false" ht="15" hidden="false" customHeight="false" outlineLevel="0" collapsed="false">
      <c r="A298" s="14"/>
      <c r="B298" s="15"/>
      <c r="C298" s="15"/>
      <c r="D298" s="16"/>
      <c r="E298" s="16"/>
      <c r="F298" s="17" t="str">
        <f aca="false">IF($D298="","",ROUND($D298-IF($E298="",0,$E298),2))</f>
        <v/>
      </c>
      <c r="G298" s="15"/>
    </row>
    <row r="299" customFormat="false" ht="15" hidden="false" customHeight="false" outlineLevel="0" collapsed="false">
      <c r="A299" s="18"/>
      <c r="B299" s="19"/>
      <c r="C299" s="19"/>
      <c r="D299" s="20"/>
      <c r="E299" s="20"/>
      <c r="F299" s="17" t="str">
        <f aca="false">IF($D299="","",ROUND($D299-IF($E299="",0,$E299),2))</f>
        <v/>
      </c>
      <c r="G299" s="19"/>
    </row>
    <row r="300" customFormat="false" ht="15" hidden="false" customHeight="false" outlineLevel="0" collapsed="false">
      <c r="A300" s="14"/>
      <c r="B300" s="15"/>
      <c r="C300" s="15"/>
      <c r="D300" s="16"/>
      <c r="E300" s="16"/>
      <c r="F300" s="17" t="str">
        <f aca="false">IF($D300="","",ROUND($D300-IF($E300="",0,$E300),2))</f>
        <v/>
      </c>
      <c r="G300" s="15"/>
    </row>
    <row r="301" customFormat="false" ht="15" hidden="false" customHeight="false" outlineLevel="0" collapsed="false">
      <c r="A301" s="18"/>
      <c r="B301" s="19"/>
      <c r="C301" s="19"/>
      <c r="D301" s="20"/>
      <c r="E301" s="20"/>
      <c r="F301" s="17" t="str">
        <f aca="false">IF($D301="","",ROUND($D301-IF($E301="",0,$E301),2))</f>
        <v/>
      </c>
      <c r="G301" s="19"/>
    </row>
    <row r="302" customFormat="false" ht="15" hidden="false" customHeight="false" outlineLevel="0" collapsed="false">
      <c r="A302" s="14"/>
      <c r="B302" s="15"/>
      <c r="C302" s="15"/>
      <c r="D302" s="16"/>
      <c r="E302" s="16"/>
      <c r="F302" s="17" t="str">
        <f aca="false">IF($D302="","",ROUND($D302-IF($E302="",0,$E302),2))</f>
        <v/>
      </c>
      <c r="G302" s="15"/>
    </row>
    <row r="303" customFormat="false" ht="15" hidden="false" customHeight="false" outlineLevel="0" collapsed="false">
      <c r="A303" s="18"/>
      <c r="B303" s="19"/>
      <c r="C303" s="19"/>
      <c r="D303" s="20"/>
      <c r="E303" s="20"/>
      <c r="F303" s="17" t="str">
        <f aca="false">IF($D303="","",ROUND($D303-IF($E303="",0,$E303),2))</f>
        <v/>
      </c>
      <c r="G303" s="19"/>
    </row>
    <row r="304" customFormat="false" ht="15" hidden="false" customHeight="false" outlineLevel="0" collapsed="false">
      <c r="A304" s="14"/>
      <c r="B304" s="15"/>
      <c r="C304" s="15"/>
      <c r="D304" s="16"/>
      <c r="E304" s="16"/>
      <c r="F304" s="17" t="str">
        <f aca="false">IF($D304="","",ROUND($D304-IF($E304="",0,$E304),2))</f>
        <v/>
      </c>
      <c r="G304" s="15"/>
    </row>
    <row r="305" customFormat="false" ht="15" hidden="false" customHeight="false" outlineLevel="0" collapsed="false">
      <c r="A305" s="18"/>
      <c r="B305" s="19"/>
      <c r="C305" s="19"/>
      <c r="D305" s="20"/>
      <c r="E305" s="20"/>
      <c r="F305" s="17" t="str">
        <f aca="false">IF($D305="","",ROUND($D305-IF($E305="",0,$E305),2))</f>
        <v/>
      </c>
      <c r="G305" s="19"/>
    </row>
  </sheetData>
  <mergeCells count="2">
    <mergeCell ref="A1:G1"/>
    <mergeCell ref="A2:G2"/>
  </mergeCells>
  <dataValidations count="2">
    <dataValidation allowBlank="true" errorStyle="stop" operator="between" showDropDown="false" showErrorMessage="false" showInputMessage="false" sqref="B6:B305" type="list">
      <formula1>ProductList</formula1>
      <formula2>0</formula2>
    </dataValidation>
    <dataValidation allowBlank="true" errorStyle="stop" operator="between" showDropDown="false" showErrorMessage="false" showInputMessage="false" sqref="C6:C305" type="list">
      <formula1>"Gumroad,Etsy,Shopify,Direct,Other"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3D77"/>
    <pageSetUpPr fitToPage="false"/>
  </sheetPr>
  <dimension ref="A1:D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3"/>
  </cols>
  <sheetData>
    <row r="1" customFormat="false" ht="25.5" hidden="false" customHeight="true" outlineLevel="0" collapsed="false">
      <c r="A1" s="1" t="s">
        <v>40</v>
      </c>
      <c r="B1" s="1"/>
      <c r="C1" s="1"/>
      <c r="D1" s="1"/>
    </row>
    <row r="2" customFormat="false" ht="15.75" hidden="false" customHeight="true" outlineLevel="0" collapsed="false">
      <c r="A2" s="2" t="s">
        <v>41</v>
      </c>
      <c r="B2" s="2"/>
      <c r="C2" s="2"/>
      <c r="D2" s="2"/>
    </row>
    <row r="4" customFormat="false" ht="15" hidden="false" customHeight="false" outlineLevel="0" collapsed="false">
      <c r="A4" s="10" t="s">
        <v>42</v>
      </c>
    </row>
    <row r="5" customFormat="false" ht="19.5" hidden="false" customHeight="true" outlineLevel="0" collapsed="false">
      <c r="A5" s="11" t="s">
        <v>29</v>
      </c>
      <c r="B5" s="11" t="s">
        <v>43</v>
      </c>
      <c r="C5" s="11" t="s">
        <v>44</v>
      </c>
      <c r="D5" s="11" t="s">
        <v>45</v>
      </c>
    </row>
    <row r="6" customFormat="false" ht="15" hidden="false" customHeight="false" outlineLevel="0" collapsed="false">
      <c r="A6" s="14" t="n">
        <v>46213</v>
      </c>
      <c r="B6" s="15" t="s">
        <v>46</v>
      </c>
      <c r="C6" s="15" t="s">
        <v>47</v>
      </c>
      <c r="D6" s="16" t="n">
        <v>12.99</v>
      </c>
    </row>
    <row r="7" customFormat="false" ht="15" hidden="false" customHeight="false" outlineLevel="0" collapsed="false">
      <c r="A7" s="18" t="n">
        <v>46239</v>
      </c>
      <c r="B7" s="19" t="s">
        <v>48</v>
      </c>
      <c r="C7" s="19" t="s">
        <v>49</v>
      </c>
      <c r="D7" s="20" t="n">
        <v>25</v>
      </c>
    </row>
    <row r="8" customFormat="false" ht="15" hidden="false" customHeight="false" outlineLevel="0" collapsed="false">
      <c r="A8" s="14"/>
      <c r="B8" s="15"/>
      <c r="C8" s="15"/>
      <c r="D8" s="16"/>
    </row>
    <row r="9" customFormat="false" ht="15" hidden="false" customHeight="false" outlineLevel="0" collapsed="false">
      <c r="A9" s="18"/>
      <c r="B9" s="19"/>
      <c r="C9" s="19"/>
      <c r="D9" s="20"/>
    </row>
    <row r="10" customFormat="false" ht="15" hidden="false" customHeight="false" outlineLevel="0" collapsed="false">
      <c r="A10" s="14"/>
      <c r="B10" s="15"/>
      <c r="C10" s="15"/>
      <c r="D10" s="16"/>
    </row>
    <row r="11" customFormat="false" ht="15" hidden="false" customHeight="false" outlineLevel="0" collapsed="false">
      <c r="A11" s="18"/>
      <c r="B11" s="19"/>
      <c r="C11" s="19"/>
      <c r="D11" s="20"/>
    </row>
    <row r="12" customFormat="false" ht="15" hidden="false" customHeight="false" outlineLevel="0" collapsed="false">
      <c r="A12" s="14"/>
      <c r="B12" s="15"/>
      <c r="C12" s="15"/>
      <c r="D12" s="16"/>
    </row>
    <row r="13" customFormat="false" ht="15" hidden="false" customHeight="false" outlineLevel="0" collapsed="false">
      <c r="A13" s="18"/>
      <c r="B13" s="19"/>
      <c r="C13" s="19"/>
      <c r="D13" s="20"/>
    </row>
    <row r="14" customFormat="false" ht="15" hidden="false" customHeight="false" outlineLevel="0" collapsed="false">
      <c r="A14" s="14"/>
      <c r="B14" s="15"/>
      <c r="C14" s="15"/>
      <c r="D14" s="16"/>
    </row>
    <row r="15" customFormat="false" ht="15" hidden="false" customHeight="false" outlineLevel="0" collapsed="false">
      <c r="A15" s="18"/>
      <c r="B15" s="19"/>
      <c r="C15" s="19"/>
      <c r="D15" s="20"/>
    </row>
    <row r="16" customFormat="false" ht="15" hidden="false" customHeight="false" outlineLevel="0" collapsed="false">
      <c r="A16" s="14"/>
      <c r="B16" s="15"/>
      <c r="C16" s="15"/>
      <c r="D16" s="16"/>
    </row>
    <row r="17" customFormat="false" ht="15" hidden="false" customHeight="false" outlineLevel="0" collapsed="false">
      <c r="A17" s="18"/>
      <c r="B17" s="19"/>
      <c r="C17" s="19"/>
      <c r="D17" s="20"/>
    </row>
    <row r="18" customFormat="false" ht="15" hidden="false" customHeight="false" outlineLevel="0" collapsed="false">
      <c r="A18" s="14"/>
      <c r="B18" s="15"/>
      <c r="C18" s="15"/>
      <c r="D18" s="16"/>
    </row>
    <row r="19" customFormat="false" ht="15" hidden="false" customHeight="false" outlineLevel="0" collapsed="false">
      <c r="A19" s="18"/>
      <c r="B19" s="19"/>
      <c r="C19" s="19"/>
      <c r="D19" s="20"/>
    </row>
    <row r="20" customFormat="false" ht="15" hidden="false" customHeight="false" outlineLevel="0" collapsed="false">
      <c r="A20" s="14"/>
      <c r="B20" s="15"/>
      <c r="C20" s="15"/>
      <c r="D20" s="16"/>
    </row>
    <row r="21" customFormat="false" ht="15" hidden="false" customHeight="false" outlineLevel="0" collapsed="false">
      <c r="A21" s="18"/>
      <c r="B21" s="19"/>
      <c r="C21" s="19"/>
      <c r="D21" s="20"/>
    </row>
    <row r="22" customFormat="false" ht="15" hidden="false" customHeight="false" outlineLevel="0" collapsed="false">
      <c r="A22" s="14"/>
      <c r="B22" s="15"/>
      <c r="C22" s="15"/>
      <c r="D22" s="16"/>
    </row>
    <row r="23" customFormat="false" ht="15" hidden="false" customHeight="false" outlineLevel="0" collapsed="false">
      <c r="A23" s="18"/>
      <c r="B23" s="19"/>
      <c r="C23" s="19"/>
      <c r="D23" s="20"/>
    </row>
    <row r="24" customFormat="false" ht="15" hidden="false" customHeight="false" outlineLevel="0" collapsed="false">
      <c r="A24" s="14"/>
      <c r="B24" s="15"/>
      <c r="C24" s="15"/>
      <c r="D24" s="16"/>
    </row>
    <row r="25" customFormat="false" ht="15" hidden="false" customHeight="false" outlineLevel="0" collapsed="false">
      <c r="A25" s="18"/>
      <c r="B25" s="19"/>
      <c r="C25" s="19"/>
      <c r="D25" s="20"/>
    </row>
    <row r="26" customFormat="false" ht="15" hidden="false" customHeight="false" outlineLevel="0" collapsed="false">
      <c r="A26" s="14"/>
      <c r="B26" s="15"/>
      <c r="C26" s="15"/>
      <c r="D26" s="16"/>
    </row>
    <row r="27" customFormat="false" ht="15" hidden="false" customHeight="false" outlineLevel="0" collapsed="false">
      <c r="A27" s="18"/>
      <c r="B27" s="19"/>
      <c r="C27" s="19"/>
      <c r="D27" s="20"/>
    </row>
    <row r="28" customFormat="false" ht="15" hidden="false" customHeight="false" outlineLevel="0" collapsed="false">
      <c r="A28" s="14"/>
      <c r="B28" s="15"/>
      <c r="C28" s="15"/>
      <c r="D28" s="16"/>
    </row>
    <row r="29" customFormat="false" ht="15" hidden="false" customHeight="false" outlineLevel="0" collapsed="false">
      <c r="A29" s="18"/>
      <c r="B29" s="19"/>
      <c r="C29" s="19"/>
      <c r="D29" s="20"/>
    </row>
    <row r="30" customFormat="false" ht="15" hidden="false" customHeight="false" outlineLevel="0" collapsed="false">
      <c r="A30" s="14"/>
      <c r="B30" s="15"/>
      <c r="C30" s="15"/>
      <c r="D30" s="16"/>
    </row>
    <row r="31" customFormat="false" ht="15" hidden="false" customHeight="false" outlineLevel="0" collapsed="false">
      <c r="A31" s="18"/>
      <c r="B31" s="19"/>
      <c r="C31" s="19"/>
      <c r="D31" s="20"/>
    </row>
    <row r="32" customFormat="false" ht="15" hidden="false" customHeight="false" outlineLevel="0" collapsed="false">
      <c r="A32" s="14"/>
      <c r="B32" s="15"/>
      <c r="C32" s="15"/>
      <c r="D32" s="16"/>
    </row>
    <row r="33" customFormat="false" ht="15" hidden="false" customHeight="false" outlineLevel="0" collapsed="false">
      <c r="A33" s="18"/>
      <c r="B33" s="19"/>
      <c r="C33" s="19"/>
      <c r="D33" s="20"/>
    </row>
    <row r="34" customFormat="false" ht="15" hidden="false" customHeight="false" outlineLevel="0" collapsed="false">
      <c r="A34" s="14"/>
      <c r="B34" s="15"/>
      <c r="C34" s="15"/>
      <c r="D34" s="16"/>
    </row>
    <row r="35" customFormat="false" ht="15" hidden="false" customHeight="false" outlineLevel="0" collapsed="false">
      <c r="A35" s="18"/>
      <c r="B35" s="19"/>
      <c r="C35" s="19"/>
      <c r="D35" s="20"/>
    </row>
    <row r="36" customFormat="false" ht="15" hidden="false" customHeight="false" outlineLevel="0" collapsed="false">
      <c r="A36" s="14"/>
      <c r="B36" s="15"/>
      <c r="C36" s="15"/>
      <c r="D36" s="16"/>
    </row>
    <row r="37" customFormat="false" ht="15" hidden="false" customHeight="false" outlineLevel="0" collapsed="false">
      <c r="A37" s="18"/>
      <c r="B37" s="19"/>
      <c r="C37" s="19"/>
      <c r="D37" s="20"/>
    </row>
    <row r="38" customFormat="false" ht="15" hidden="false" customHeight="false" outlineLevel="0" collapsed="false">
      <c r="A38" s="14"/>
      <c r="B38" s="15"/>
      <c r="C38" s="15"/>
      <c r="D38" s="16"/>
    </row>
    <row r="39" customFormat="false" ht="15" hidden="false" customHeight="false" outlineLevel="0" collapsed="false">
      <c r="A39" s="18"/>
      <c r="B39" s="19"/>
      <c r="C39" s="19"/>
      <c r="D39" s="20"/>
    </row>
    <row r="40" customFormat="false" ht="15" hidden="false" customHeight="false" outlineLevel="0" collapsed="false">
      <c r="A40" s="14"/>
      <c r="B40" s="15"/>
      <c r="C40" s="15"/>
      <c r="D40" s="16"/>
    </row>
    <row r="41" customFormat="false" ht="15" hidden="false" customHeight="false" outlineLevel="0" collapsed="false">
      <c r="A41" s="18"/>
      <c r="B41" s="19"/>
      <c r="C41" s="19"/>
      <c r="D41" s="20"/>
    </row>
    <row r="42" customFormat="false" ht="15" hidden="false" customHeight="false" outlineLevel="0" collapsed="false">
      <c r="A42" s="14"/>
      <c r="B42" s="15"/>
      <c r="C42" s="15"/>
      <c r="D42" s="16"/>
    </row>
    <row r="43" customFormat="false" ht="15" hidden="false" customHeight="false" outlineLevel="0" collapsed="false">
      <c r="A43" s="18"/>
      <c r="B43" s="19"/>
      <c r="C43" s="19"/>
      <c r="D43" s="20"/>
    </row>
    <row r="44" customFormat="false" ht="15" hidden="false" customHeight="false" outlineLevel="0" collapsed="false">
      <c r="A44" s="14"/>
      <c r="B44" s="15"/>
      <c r="C44" s="15"/>
      <c r="D44" s="16"/>
    </row>
    <row r="45" customFormat="false" ht="15" hidden="false" customHeight="false" outlineLevel="0" collapsed="false">
      <c r="A45" s="18"/>
      <c r="B45" s="19"/>
      <c r="C45" s="19"/>
      <c r="D45" s="20"/>
    </row>
    <row r="46" customFormat="false" ht="15" hidden="false" customHeight="false" outlineLevel="0" collapsed="false">
      <c r="A46" s="14"/>
      <c r="B46" s="15"/>
      <c r="C46" s="15"/>
      <c r="D46" s="16"/>
    </row>
    <row r="47" customFormat="false" ht="15" hidden="false" customHeight="false" outlineLevel="0" collapsed="false">
      <c r="A47" s="18"/>
      <c r="B47" s="19"/>
      <c r="C47" s="19"/>
      <c r="D47" s="20"/>
    </row>
    <row r="48" customFormat="false" ht="15" hidden="false" customHeight="false" outlineLevel="0" collapsed="false">
      <c r="A48" s="14"/>
      <c r="B48" s="15"/>
      <c r="C48" s="15"/>
      <c r="D48" s="16"/>
    </row>
    <row r="49" customFormat="false" ht="15" hidden="false" customHeight="false" outlineLevel="0" collapsed="false">
      <c r="A49" s="18"/>
      <c r="B49" s="19"/>
      <c r="C49" s="19"/>
      <c r="D49" s="20"/>
    </row>
    <row r="50" customFormat="false" ht="15" hidden="false" customHeight="false" outlineLevel="0" collapsed="false">
      <c r="A50" s="14"/>
      <c r="B50" s="15"/>
      <c r="C50" s="15"/>
      <c r="D50" s="16"/>
    </row>
    <row r="51" customFormat="false" ht="15" hidden="false" customHeight="false" outlineLevel="0" collapsed="false">
      <c r="A51" s="18"/>
      <c r="B51" s="19"/>
      <c r="C51" s="19"/>
      <c r="D51" s="20"/>
    </row>
    <row r="52" customFormat="false" ht="15" hidden="false" customHeight="false" outlineLevel="0" collapsed="false">
      <c r="A52" s="14"/>
      <c r="B52" s="15"/>
      <c r="C52" s="15"/>
      <c r="D52" s="16"/>
    </row>
    <row r="53" customFormat="false" ht="15" hidden="false" customHeight="false" outlineLevel="0" collapsed="false">
      <c r="A53" s="18"/>
      <c r="B53" s="19"/>
      <c r="C53" s="19"/>
      <c r="D53" s="20"/>
    </row>
    <row r="54" customFormat="false" ht="15" hidden="false" customHeight="false" outlineLevel="0" collapsed="false">
      <c r="A54" s="14"/>
      <c r="B54" s="15"/>
      <c r="C54" s="15"/>
      <c r="D54" s="16"/>
    </row>
    <row r="55" customFormat="false" ht="15" hidden="false" customHeight="false" outlineLevel="0" collapsed="false">
      <c r="A55" s="18"/>
      <c r="B55" s="19"/>
      <c r="C55" s="19"/>
      <c r="D55" s="20"/>
    </row>
    <row r="56" customFormat="false" ht="15" hidden="false" customHeight="false" outlineLevel="0" collapsed="false">
      <c r="A56" s="14"/>
      <c r="B56" s="15"/>
      <c r="C56" s="15"/>
      <c r="D56" s="16"/>
    </row>
    <row r="57" customFormat="false" ht="15" hidden="false" customHeight="false" outlineLevel="0" collapsed="false">
      <c r="A57" s="18"/>
      <c r="B57" s="19"/>
      <c r="C57" s="19"/>
      <c r="D57" s="20"/>
    </row>
    <row r="58" customFormat="false" ht="15" hidden="false" customHeight="false" outlineLevel="0" collapsed="false">
      <c r="A58" s="14"/>
      <c r="B58" s="15"/>
      <c r="C58" s="15"/>
      <c r="D58" s="16"/>
    </row>
    <row r="59" customFormat="false" ht="15" hidden="false" customHeight="false" outlineLevel="0" collapsed="false">
      <c r="A59" s="18"/>
      <c r="B59" s="19"/>
      <c r="C59" s="19"/>
      <c r="D59" s="20"/>
    </row>
    <row r="60" customFormat="false" ht="15" hidden="false" customHeight="false" outlineLevel="0" collapsed="false">
      <c r="A60" s="14"/>
      <c r="B60" s="15"/>
      <c r="C60" s="15"/>
      <c r="D60" s="16"/>
    </row>
    <row r="61" customFormat="false" ht="15" hidden="false" customHeight="false" outlineLevel="0" collapsed="false">
      <c r="A61" s="18"/>
      <c r="B61" s="19"/>
      <c r="C61" s="19"/>
      <c r="D61" s="20"/>
    </row>
    <row r="62" customFormat="false" ht="15" hidden="false" customHeight="false" outlineLevel="0" collapsed="false">
      <c r="A62" s="14"/>
      <c r="B62" s="15"/>
      <c r="C62" s="15"/>
      <c r="D62" s="16"/>
    </row>
    <row r="63" customFormat="false" ht="15" hidden="false" customHeight="false" outlineLevel="0" collapsed="false">
      <c r="A63" s="18"/>
      <c r="B63" s="19"/>
      <c r="C63" s="19"/>
      <c r="D63" s="20"/>
    </row>
    <row r="64" customFormat="false" ht="15" hidden="false" customHeight="false" outlineLevel="0" collapsed="false">
      <c r="A64" s="14"/>
      <c r="B64" s="15"/>
      <c r="C64" s="15"/>
      <c r="D64" s="16"/>
    </row>
    <row r="65" customFormat="false" ht="15" hidden="false" customHeight="false" outlineLevel="0" collapsed="false">
      <c r="A65" s="18"/>
      <c r="B65" s="19"/>
      <c r="C65" s="19"/>
      <c r="D65" s="20"/>
    </row>
    <row r="66" customFormat="false" ht="15" hidden="false" customHeight="false" outlineLevel="0" collapsed="false">
      <c r="A66" s="14"/>
      <c r="B66" s="15"/>
      <c r="C66" s="15"/>
      <c r="D66" s="16"/>
    </row>
    <row r="67" customFormat="false" ht="15" hidden="false" customHeight="false" outlineLevel="0" collapsed="false">
      <c r="A67" s="18"/>
      <c r="B67" s="19"/>
      <c r="C67" s="19"/>
      <c r="D67" s="20"/>
    </row>
    <row r="68" customFormat="false" ht="15" hidden="false" customHeight="false" outlineLevel="0" collapsed="false">
      <c r="A68" s="14"/>
      <c r="B68" s="15"/>
      <c r="C68" s="15"/>
      <c r="D68" s="16"/>
    </row>
    <row r="69" customFormat="false" ht="15" hidden="false" customHeight="false" outlineLevel="0" collapsed="false">
      <c r="A69" s="18"/>
      <c r="B69" s="19"/>
      <c r="C69" s="19"/>
      <c r="D69" s="20"/>
    </row>
    <row r="70" customFormat="false" ht="15" hidden="false" customHeight="false" outlineLevel="0" collapsed="false">
      <c r="A70" s="14"/>
      <c r="B70" s="15"/>
      <c r="C70" s="15"/>
      <c r="D70" s="16"/>
    </row>
    <row r="71" customFormat="false" ht="15" hidden="false" customHeight="false" outlineLevel="0" collapsed="false">
      <c r="A71" s="18"/>
      <c r="B71" s="19"/>
      <c r="C71" s="19"/>
      <c r="D71" s="20"/>
    </row>
    <row r="72" customFormat="false" ht="15" hidden="false" customHeight="false" outlineLevel="0" collapsed="false">
      <c r="A72" s="14"/>
      <c r="B72" s="15"/>
      <c r="C72" s="15"/>
      <c r="D72" s="16"/>
    </row>
    <row r="73" customFormat="false" ht="15" hidden="false" customHeight="false" outlineLevel="0" collapsed="false">
      <c r="A73" s="18"/>
      <c r="B73" s="19"/>
      <c r="C73" s="19"/>
      <c r="D73" s="20"/>
    </row>
    <row r="74" customFormat="false" ht="15" hidden="false" customHeight="false" outlineLevel="0" collapsed="false">
      <c r="A74" s="14"/>
      <c r="B74" s="15"/>
      <c r="C74" s="15"/>
      <c r="D74" s="16"/>
    </row>
    <row r="75" customFormat="false" ht="15" hidden="false" customHeight="false" outlineLevel="0" collapsed="false">
      <c r="A75" s="18"/>
      <c r="B75" s="19"/>
      <c r="C75" s="19"/>
      <c r="D75" s="20"/>
    </row>
    <row r="76" customFormat="false" ht="15" hidden="false" customHeight="false" outlineLevel="0" collapsed="false">
      <c r="A76" s="14"/>
      <c r="B76" s="15"/>
      <c r="C76" s="15"/>
      <c r="D76" s="16"/>
    </row>
    <row r="77" customFormat="false" ht="15" hidden="false" customHeight="false" outlineLevel="0" collapsed="false">
      <c r="A77" s="18"/>
      <c r="B77" s="19"/>
      <c r="C77" s="19"/>
      <c r="D77" s="20"/>
    </row>
    <row r="78" customFormat="false" ht="15" hidden="false" customHeight="false" outlineLevel="0" collapsed="false">
      <c r="A78" s="14"/>
      <c r="B78" s="15"/>
      <c r="C78" s="15"/>
      <c r="D78" s="16"/>
    </row>
    <row r="79" customFormat="false" ht="15" hidden="false" customHeight="false" outlineLevel="0" collapsed="false">
      <c r="A79" s="18"/>
      <c r="B79" s="19"/>
      <c r="C79" s="19"/>
      <c r="D79" s="20"/>
    </row>
    <row r="80" customFormat="false" ht="15" hidden="false" customHeight="false" outlineLevel="0" collapsed="false">
      <c r="A80" s="14"/>
      <c r="B80" s="15"/>
      <c r="C80" s="15"/>
      <c r="D80" s="16"/>
    </row>
    <row r="81" customFormat="false" ht="15" hidden="false" customHeight="false" outlineLevel="0" collapsed="false">
      <c r="A81" s="18"/>
      <c r="B81" s="19"/>
      <c r="C81" s="19"/>
      <c r="D81" s="20"/>
    </row>
    <row r="82" customFormat="false" ht="15" hidden="false" customHeight="false" outlineLevel="0" collapsed="false">
      <c r="A82" s="14"/>
      <c r="B82" s="15"/>
      <c r="C82" s="15"/>
      <c r="D82" s="16"/>
    </row>
    <row r="83" customFormat="false" ht="15" hidden="false" customHeight="false" outlineLevel="0" collapsed="false">
      <c r="A83" s="18"/>
      <c r="B83" s="19"/>
      <c r="C83" s="19"/>
      <c r="D83" s="20"/>
    </row>
    <row r="84" customFormat="false" ht="15" hidden="false" customHeight="false" outlineLevel="0" collapsed="false">
      <c r="A84" s="14"/>
      <c r="B84" s="15"/>
      <c r="C84" s="15"/>
      <c r="D84" s="16"/>
    </row>
    <row r="85" customFormat="false" ht="15" hidden="false" customHeight="false" outlineLevel="0" collapsed="false">
      <c r="A85" s="18"/>
      <c r="B85" s="19"/>
      <c r="C85" s="19"/>
      <c r="D85" s="20"/>
    </row>
    <row r="86" customFormat="false" ht="15" hidden="false" customHeight="false" outlineLevel="0" collapsed="false">
      <c r="A86" s="14"/>
      <c r="B86" s="15"/>
      <c r="C86" s="15"/>
      <c r="D86" s="16"/>
    </row>
    <row r="87" customFormat="false" ht="15" hidden="false" customHeight="false" outlineLevel="0" collapsed="false">
      <c r="A87" s="18"/>
      <c r="B87" s="19"/>
      <c r="C87" s="19"/>
      <c r="D87" s="20"/>
    </row>
    <row r="88" customFormat="false" ht="15" hidden="false" customHeight="false" outlineLevel="0" collapsed="false">
      <c r="A88" s="14"/>
      <c r="B88" s="15"/>
      <c r="C88" s="15"/>
      <c r="D88" s="16"/>
    </row>
    <row r="89" customFormat="false" ht="15" hidden="false" customHeight="false" outlineLevel="0" collapsed="false">
      <c r="A89" s="18"/>
      <c r="B89" s="19"/>
      <c r="C89" s="19"/>
      <c r="D89" s="20"/>
    </row>
    <row r="90" customFormat="false" ht="15" hidden="false" customHeight="false" outlineLevel="0" collapsed="false">
      <c r="A90" s="14"/>
      <c r="B90" s="15"/>
      <c r="C90" s="15"/>
      <c r="D90" s="16"/>
    </row>
    <row r="91" customFormat="false" ht="15" hidden="false" customHeight="false" outlineLevel="0" collapsed="false">
      <c r="A91" s="18"/>
      <c r="B91" s="19"/>
      <c r="C91" s="19"/>
      <c r="D91" s="20"/>
    </row>
    <row r="92" customFormat="false" ht="15" hidden="false" customHeight="false" outlineLevel="0" collapsed="false">
      <c r="A92" s="14"/>
      <c r="B92" s="15"/>
      <c r="C92" s="15"/>
      <c r="D92" s="16"/>
    </row>
    <row r="93" customFormat="false" ht="15" hidden="false" customHeight="false" outlineLevel="0" collapsed="false">
      <c r="A93" s="18"/>
      <c r="B93" s="19"/>
      <c r="C93" s="19"/>
      <c r="D93" s="20"/>
    </row>
    <row r="94" customFormat="false" ht="15" hidden="false" customHeight="false" outlineLevel="0" collapsed="false">
      <c r="A94" s="14"/>
      <c r="B94" s="15"/>
      <c r="C94" s="15"/>
      <c r="D94" s="16"/>
    </row>
    <row r="95" customFormat="false" ht="15" hidden="false" customHeight="false" outlineLevel="0" collapsed="false">
      <c r="A95" s="18"/>
      <c r="B95" s="19"/>
      <c r="C95" s="19"/>
      <c r="D95" s="20"/>
    </row>
    <row r="96" customFormat="false" ht="15" hidden="false" customHeight="false" outlineLevel="0" collapsed="false">
      <c r="A96" s="14"/>
      <c r="B96" s="15"/>
      <c r="C96" s="15"/>
      <c r="D96" s="16"/>
    </row>
    <row r="97" customFormat="false" ht="15" hidden="false" customHeight="false" outlineLevel="0" collapsed="false">
      <c r="A97" s="18"/>
      <c r="B97" s="19"/>
      <c r="C97" s="19"/>
      <c r="D97" s="20"/>
    </row>
    <row r="98" customFormat="false" ht="15" hidden="false" customHeight="false" outlineLevel="0" collapsed="false">
      <c r="A98" s="14"/>
      <c r="B98" s="15"/>
      <c r="C98" s="15"/>
      <c r="D98" s="16"/>
    </row>
    <row r="99" customFormat="false" ht="15" hidden="false" customHeight="false" outlineLevel="0" collapsed="false">
      <c r="A99" s="18"/>
      <c r="B99" s="19"/>
      <c r="C99" s="19"/>
      <c r="D99" s="20"/>
    </row>
    <row r="100" customFormat="false" ht="15" hidden="false" customHeight="false" outlineLevel="0" collapsed="false">
      <c r="A100" s="14"/>
      <c r="B100" s="15"/>
      <c r="C100" s="15"/>
      <c r="D100" s="16"/>
    </row>
    <row r="101" customFormat="false" ht="15" hidden="false" customHeight="false" outlineLevel="0" collapsed="false">
      <c r="A101" s="18"/>
      <c r="B101" s="19"/>
      <c r="C101" s="19"/>
      <c r="D101" s="20"/>
    </row>
    <row r="102" customFormat="false" ht="15" hidden="false" customHeight="false" outlineLevel="0" collapsed="false">
      <c r="A102" s="14"/>
      <c r="B102" s="15"/>
      <c r="C102" s="15"/>
      <c r="D102" s="16"/>
    </row>
    <row r="103" customFormat="false" ht="15" hidden="false" customHeight="false" outlineLevel="0" collapsed="false">
      <c r="A103" s="18"/>
      <c r="B103" s="19"/>
      <c r="C103" s="19"/>
      <c r="D103" s="20"/>
    </row>
    <row r="104" customFormat="false" ht="15" hidden="false" customHeight="false" outlineLevel="0" collapsed="false">
      <c r="A104" s="14"/>
      <c r="B104" s="15"/>
      <c r="C104" s="15"/>
      <c r="D104" s="16"/>
    </row>
    <row r="105" customFormat="false" ht="15" hidden="false" customHeight="false" outlineLevel="0" collapsed="false">
      <c r="A105" s="18"/>
      <c r="B105" s="19"/>
      <c r="C105" s="19"/>
      <c r="D105" s="20"/>
    </row>
    <row r="106" customFormat="false" ht="15" hidden="false" customHeight="false" outlineLevel="0" collapsed="false">
      <c r="A106" s="14"/>
      <c r="B106" s="15"/>
      <c r="C106" s="15"/>
      <c r="D106" s="16"/>
    </row>
    <row r="107" customFormat="false" ht="15" hidden="false" customHeight="false" outlineLevel="0" collapsed="false">
      <c r="A107" s="18"/>
      <c r="B107" s="19"/>
      <c r="C107" s="19"/>
      <c r="D107" s="20"/>
    </row>
    <row r="108" customFormat="false" ht="15" hidden="false" customHeight="false" outlineLevel="0" collapsed="false">
      <c r="A108" s="14"/>
      <c r="B108" s="15"/>
      <c r="C108" s="15"/>
      <c r="D108" s="16"/>
    </row>
    <row r="109" customFormat="false" ht="15" hidden="false" customHeight="false" outlineLevel="0" collapsed="false">
      <c r="A109" s="18"/>
      <c r="B109" s="19"/>
      <c r="C109" s="19"/>
      <c r="D109" s="20"/>
    </row>
    <row r="110" customFormat="false" ht="15" hidden="false" customHeight="false" outlineLevel="0" collapsed="false">
      <c r="A110" s="14"/>
      <c r="B110" s="15"/>
      <c r="C110" s="15"/>
      <c r="D110" s="16"/>
    </row>
    <row r="111" customFormat="false" ht="15" hidden="false" customHeight="false" outlineLevel="0" collapsed="false">
      <c r="A111" s="18"/>
      <c r="B111" s="19"/>
      <c r="C111" s="19"/>
      <c r="D111" s="20"/>
    </row>
    <row r="112" customFormat="false" ht="15" hidden="false" customHeight="false" outlineLevel="0" collapsed="false">
      <c r="A112" s="14"/>
      <c r="B112" s="15"/>
      <c r="C112" s="15"/>
      <c r="D112" s="16"/>
    </row>
    <row r="113" customFormat="false" ht="15" hidden="false" customHeight="false" outlineLevel="0" collapsed="false">
      <c r="A113" s="18"/>
      <c r="B113" s="19"/>
      <c r="C113" s="19"/>
      <c r="D113" s="20"/>
    </row>
    <row r="114" customFormat="false" ht="15" hidden="false" customHeight="false" outlineLevel="0" collapsed="false">
      <c r="A114" s="14"/>
      <c r="B114" s="15"/>
      <c r="C114" s="15"/>
      <c r="D114" s="16"/>
    </row>
    <row r="115" customFormat="false" ht="15" hidden="false" customHeight="false" outlineLevel="0" collapsed="false">
      <c r="A115" s="18"/>
      <c r="B115" s="19"/>
      <c r="C115" s="19"/>
      <c r="D115" s="20"/>
    </row>
    <row r="116" customFormat="false" ht="15" hidden="false" customHeight="false" outlineLevel="0" collapsed="false">
      <c r="A116" s="14"/>
      <c r="B116" s="15"/>
      <c r="C116" s="15"/>
      <c r="D116" s="16"/>
    </row>
    <row r="117" customFormat="false" ht="15" hidden="false" customHeight="false" outlineLevel="0" collapsed="false">
      <c r="A117" s="18"/>
      <c r="B117" s="19"/>
      <c r="C117" s="19"/>
      <c r="D117" s="20"/>
    </row>
    <row r="118" customFormat="false" ht="15" hidden="false" customHeight="false" outlineLevel="0" collapsed="false">
      <c r="A118" s="14"/>
      <c r="B118" s="15"/>
      <c r="C118" s="15"/>
      <c r="D118" s="16"/>
    </row>
    <row r="119" customFormat="false" ht="15" hidden="false" customHeight="false" outlineLevel="0" collapsed="false">
      <c r="A119" s="18"/>
      <c r="B119" s="19"/>
      <c r="C119" s="19"/>
      <c r="D119" s="20"/>
    </row>
    <row r="120" customFormat="false" ht="15" hidden="false" customHeight="false" outlineLevel="0" collapsed="false">
      <c r="A120" s="14"/>
      <c r="B120" s="15"/>
      <c r="C120" s="15"/>
      <c r="D120" s="16"/>
    </row>
    <row r="121" customFormat="false" ht="15" hidden="false" customHeight="false" outlineLevel="0" collapsed="false">
      <c r="A121" s="18"/>
      <c r="B121" s="19"/>
      <c r="C121" s="19"/>
      <c r="D121" s="20"/>
    </row>
    <row r="122" customFormat="false" ht="15" hidden="false" customHeight="false" outlineLevel="0" collapsed="false">
      <c r="A122" s="14"/>
      <c r="B122" s="15"/>
      <c r="C122" s="15"/>
      <c r="D122" s="16"/>
    </row>
    <row r="123" customFormat="false" ht="15" hidden="false" customHeight="false" outlineLevel="0" collapsed="false">
      <c r="A123" s="18"/>
      <c r="B123" s="19"/>
      <c r="C123" s="19"/>
      <c r="D123" s="20"/>
    </row>
    <row r="124" customFormat="false" ht="15" hidden="false" customHeight="false" outlineLevel="0" collapsed="false">
      <c r="A124" s="14"/>
      <c r="B124" s="15"/>
      <c r="C124" s="15"/>
      <c r="D124" s="16"/>
    </row>
    <row r="125" customFormat="false" ht="15" hidden="false" customHeight="false" outlineLevel="0" collapsed="false">
      <c r="A125" s="18"/>
      <c r="B125" s="19"/>
      <c r="C125" s="19"/>
      <c r="D125" s="20"/>
    </row>
    <row r="126" customFormat="false" ht="15" hidden="false" customHeight="false" outlineLevel="0" collapsed="false">
      <c r="A126" s="14"/>
      <c r="B126" s="15"/>
      <c r="C126" s="15"/>
      <c r="D126" s="16"/>
    </row>
    <row r="127" customFormat="false" ht="15" hidden="false" customHeight="false" outlineLevel="0" collapsed="false">
      <c r="A127" s="18"/>
      <c r="B127" s="19"/>
      <c r="C127" s="19"/>
      <c r="D127" s="20"/>
    </row>
    <row r="128" customFormat="false" ht="15" hidden="false" customHeight="false" outlineLevel="0" collapsed="false">
      <c r="A128" s="14"/>
      <c r="B128" s="15"/>
      <c r="C128" s="15"/>
      <c r="D128" s="16"/>
    </row>
    <row r="129" customFormat="false" ht="15" hidden="false" customHeight="false" outlineLevel="0" collapsed="false">
      <c r="A129" s="18"/>
      <c r="B129" s="19"/>
      <c r="C129" s="19"/>
      <c r="D129" s="20"/>
    </row>
    <row r="130" customFormat="false" ht="15" hidden="false" customHeight="false" outlineLevel="0" collapsed="false">
      <c r="A130" s="14"/>
      <c r="B130" s="15"/>
      <c r="C130" s="15"/>
      <c r="D130" s="16"/>
    </row>
    <row r="131" customFormat="false" ht="15" hidden="false" customHeight="false" outlineLevel="0" collapsed="false">
      <c r="A131" s="18"/>
      <c r="B131" s="19"/>
      <c r="C131" s="19"/>
      <c r="D131" s="20"/>
    </row>
    <row r="132" customFormat="false" ht="15" hidden="false" customHeight="false" outlineLevel="0" collapsed="false">
      <c r="A132" s="14"/>
      <c r="B132" s="15"/>
      <c r="C132" s="15"/>
      <c r="D132" s="16"/>
    </row>
    <row r="133" customFormat="false" ht="15" hidden="false" customHeight="false" outlineLevel="0" collapsed="false">
      <c r="A133" s="18"/>
      <c r="B133" s="19"/>
      <c r="C133" s="19"/>
      <c r="D133" s="20"/>
    </row>
    <row r="134" customFormat="false" ht="15" hidden="false" customHeight="false" outlineLevel="0" collapsed="false">
      <c r="A134" s="14"/>
      <c r="B134" s="15"/>
      <c r="C134" s="15"/>
      <c r="D134" s="16"/>
    </row>
    <row r="135" customFormat="false" ht="15" hidden="false" customHeight="false" outlineLevel="0" collapsed="false">
      <c r="A135" s="18"/>
      <c r="B135" s="19"/>
      <c r="C135" s="19"/>
      <c r="D135" s="20"/>
    </row>
    <row r="136" customFormat="false" ht="15" hidden="false" customHeight="false" outlineLevel="0" collapsed="false">
      <c r="A136" s="14"/>
      <c r="B136" s="15"/>
      <c r="C136" s="15"/>
      <c r="D136" s="16"/>
    </row>
    <row r="137" customFormat="false" ht="15" hidden="false" customHeight="false" outlineLevel="0" collapsed="false">
      <c r="A137" s="18"/>
      <c r="B137" s="19"/>
      <c r="C137" s="19"/>
      <c r="D137" s="20"/>
    </row>
    <row r="138" customFormat="false" ht="15" hidden="false" customHeight="false" outlineLevel="0" collapsed="false">
      <c r="A138" s="14"/>
      <c r="B138" s="15"/>
      <c r="C138" s="15"/>
      <c r="D138" s="16"/>
    </row>
    <row r="139" customFormat="false" ht="15" hidden="false" customHeight="false" outlineLevel="0" collapsed="false">
      <c r="A139" s="18"/>
      <c r="B139" s="19"/>
      <c r="C139" s="19"/>
      <c r="D139" s="20"/>
    </row>
    <row r="140" customFormat="false" ht="15" hidden="false" customHeight="false" outlineLevel="0" collapsed="false">
      <c r="A140" s="14"/>
      <c r="B140" s="15"/>
      <c r="C140" s="15"/>
      <c r="D140" s="16"/>
    </row>
    <row r="141" customFormat="false" ht="15" hidden="false" customHeight="false" outlineLevel="0" collapsed="false">
      <c r="A141" s="18"/>
      <c r="B141" s="19"/>
      <c r="C141" s="19"/>
      <c r="D141" s="20"/>
    </row>
    <row r="142" customFormat="false" ht="15" hidden="false" customHeight="false" outlineLevel="0" collapsed="false">
      <c r="A142" s="14"/>
      <c r="B142" s="15"/>
      <c r="C142" s="15"/>
      <c r="D142" s="16"/>
    </row>
    <row r="143" customFormat="false" ht="15" hidden="false" customHeight="false" outlineLevel="0" collapsed="false">
      <c r="A143" s="18"/>
      <c r="B143" s="19"/>
      <c r="C143" s="19"/>
      <c r="D143" s="20"/>
    </row>
    <row r="144" customFormat="false" ht="15" hidden="false" customHeight="false" outlineLevel="0" collapsed="false">
      <c r="A144" s="14"/>
      <c r="B144" s="15"/>
      <c r="C144" s="15"/>
      <c r="D144" s="16"/>
    </row>
    <row r="145" customFormat="false" ht="15" hidden="false" customHeight="false" outlineLevel="0" collapsed="false">
      <c r="A145" s="18"/>
      <c r="B145" s="19"/>
      <c r="C145" s="19"/>
      <c r="D145" s="20"/>
    </row>
    <row r="146" customFormat="false" ht="15" hidden="false" customHeight="false" outlineLevel="0" collapsed="false">
      <c r="A146" s="14"/>
      <c r="B146" s="15"/>
      <c r="C146" s="15"/>
      <c r="D146" s="16"/>
    </row>
    <row r="147" customFormat="false" ht="15" hidden="false" customHeight="false" outlineLevel="0" collapsed="false">
      <c r="A147" s="18"/>
      <c r="B147" s="19"/>
      <c r="C147" s="19"/>
      <c r="D147" s="20"/>
    </row>
    <row r="148" customFormat="false" ht="15" hidden="false" customHeight="false" outlineLevel="0" collapsed="false">
      <c r="A148" s="14"/>
      <c r="B148" s="15"/>
      <c r="C148" s="15"/>
      <c r="D148" s="16"/>
    </row>
    <row r="149" customFormat="false" ht="15" hidden="false" customHeight="false" outlineLevel="0" collapsed="false">
      <c r="A149" s="18"/>
      <c r="B149" s="19"/>
      <c r="C149" s="19"/>
      <c r="D149" s="20"/>
    </row>
    <row r="150" customFormat="false" ht="15" hidden="false" customHeight="false" outlineLevel="0" collapsed="false">
      <c r="A150" s="14"/>
      <c r="B150" s="15"/>
      <c r="C150" s="15"/>
      <c r="D150" s="16"/>
    </row>
    <row r="151" customFormat="false" ht="15" hidden="false" customHeight="false" outlineLevel="0" collapsed="false">
      <c r="A151" s="18"/>
      <c r="B151" s="19"/>
      <c r="C151" s="19"/>
      <c r="D151" s="20"/>
    </row>
    <row r="152" customFormat="false" ht="15" hidden="false" customHeight="false" outlineLevel="0" collapsed="false">
      <c r="A152" s="14"/>
      <c r="B152" s="15"/>
      <c r="C152" s="15"/>
      <c r="D152" s="16"/>
    </row>
    <row r="153" customFormat="false" ht="15" hidden="false" customHeight="false" outlineLevel="0" collapsed="false">
      <c r="A153" s="18"/>
      <c r="B153" s="19"/>
      <c r="C153" s="19"/>
      <c r="D153" s="20"/>
    </row>
    <row r="154" customFormat="false" ht="15" hidden="false" customHeight="false" outlineLevel="0" collapsed="false">
      <c r="A154" s="14"/>
      <c r="B154" s="15"/>
      <c r="C154" s="15"/>
      <c r="D154" s="16"/>
    </row>
    <row r="155" customFormat="false" ht="15" hidden="false" customHeight="false" outlineLevel="0" collapsed="false">
      <c r="A155" s="18"/>
      <c r="B155" s="19"/>
      <c r="C155" s="19"/>
      <c r="D155" s="20"/>
    </row>
    <row r="156" customFormat="false" ht="15" hidden="false" customHeight="false" outlineLevel="0" collapsed="false">
      <c r="A156" s="14"/>
      <c r="B156" s="15"/>
      <c r="C156" s="15"/>
      <c r="D156" s="16"/>
    </row>
    <row r="157" customFormat="false" ht="15" hidden="false" customHeight="false" outlineLevel="0" collapsed="false">
      <c r="A157" s="18"/>
      <c r="B157" s="19"/>
      <c r="C157" s="19"/>
      <c r="D157" s="20"/>
    </row>
    <row r="158" customFormat="false" ht="15" hidden="false" customHeight="false" outlineLevel="0" collapsed="false">
      <c r="A158" s="14"/>
      <c r="B158" s="15"/>
      <c r="C158" s="15"/>
      <c r="D158" s="16"/>
    </row>
    <row r="159" customFormat="false" ht="15" hidden="false" customHeight="false" outlineLevel="0" collapsed="false">
      <c r="A159" s="18"/>
      <c r="B159" s="19"/>
      <c r="C159" s="19"/>
      <c r="D159" s="20"/>
    </row>
    <row r="160" customFormat="false" ht="15" hidden="false" customHeight="false" outlineLevel="0" collapsed="false">
      <c r="A160" s="14"/>
      <c r="B160" s="15"/>
      <c r="C160" s="15"/>
      <c r="D160" s="16"/>
    </row>
    <row r="161" customFormat="false" ht="15" hidden="false" customHeight="false" outlineLevel="0" collapsed="false">
      <c r="A161" s="18"/>
      <c r="B161" s="19"/>
      <c r="C161" s="19"/>
      <c r="D161" s="20"/>
    </row>
    <row r="162" customFormat="false" ht="15" hidden="false" customHeight="false" outlineLevel="0" collapsed="false">
      <c r="A162" s="14"/>
      <c r="B162" s="15"/>
      <c r="C162" s="15"/>
      <c r="D162" s="16"/>
    </row>
    <row r="163" customFormat="false" ht="15" hidden="false" customHeight="false" outlineLevel="0" collapsed="false">
      <c r="A163" s="18"/>
      <c r="B163" s="19"/>
      <c r="C163" s="19"/>
      <c r="D163" s="20"/>
    </row>
    <row r="164" customFormat="false" ht="15" hidden="false" customHeight="false" outlineLevel="0" collapsed="false">
      <c r="A164" s="14"/>
      <c r="B164" s="15"/>
      <c r="C164" s="15"/>
      <c r="D164" s="16"/>
    </row>
    <row r="165" customFormat="false" ht="15" hidden="false" customHeight="false" outlineLevel="0" collapsed="false">
      <c r="A165" s="18"/>
      <c r="B165" s="19"/>
      <c r="C165" s="19"/>
      <c r="D165" s="20"/>
    </row>
    <row r="166" customFormat="false" ht="15" hidden="false" customHeight="false" outlineLevel="0" collapsed="false">
      <c r="A166" s="14"/>
      <c r="B166" s="15"/>
      <c r="C166" s="15"/>
      <c r="D166" s="16"/>
    </row>
    <row r="167" customFormat="false" ht="15" hidden="false" customHeight="false" outlineLevel="0" collapsed="false">
      <c r="A167" s="18"/>
      <c r="B167" s="19"/>
      <c r="C167" s="19"/>
      <c r="D167" s="20"/>
    </row>
    <row r="168" customFormat="false" ht="15" hidden="false" customHeight="false" outlineLevel="0" collapsed="false">
      <c r="A168" s="14"/>
      <c r="B168" s="15"/>
      <c r="C168" s="15"/>
      <c r="D168" s="16"/>
    </row>
    <row r="169" customFormat="false" ht="15" hidden="false" customHeight="false" outlineLevel="0" collapsed="false">
      <c r="A169" s="18"/>
      <c r="B169" s="19"/>
      <c r="C169" s="19"/>
      <c r="D169" s="20"/>
    </row>
    <row r="170" customFormat="false" ht="15" hidden="false" customHeight="false" outlineLevel="0" collapsed="false">
      <c r="A170" s="14"/>
      <c r="B170" s="15"/>
      <c r="C170" s="15"/>
      <c r="D170" s="16"/>
    </row>
    <row r="171" customFormat="false" ht="15" hidden="false" customHeight="false" outlineLevel="0" collapsed="false">
      <c r="A171" s="18"/>
      <c r="B171" s="19"/>
      <c r="C171" s="19"/>
      <c r="D171" s="20"/>
    </row>
    <row r="172" customFormat="false" ht="15" hidden="false" customHeight="false" outlineLevel="0" collapsed="false">
      <c r="A172" s="14"/>
      <c r="B172" s="15"/>
      <c r="C172" s="15"/>
      <c r="D172" s="16"/>
    </row>
    <row r="173" customFormat="false" ht="15" hidden="false" customHeight="false" outlineLevel="0" collapsed="false">
      <c r="A173" s="18"/>
      <c r="B173" s="19"/>
      <c r="C173" s="19"/>
      <c r="D173" s="20"/>
    </row>
    <row r="174" customFormat="false" ht="15" hidden="false" customHeight="false" outlineLevel="0" collapsed="false">
      <c r="A174" s="14"/>
      <c r="B174" s="15"/>
      <c r="C174" s="15"/>
      <c r="D174" s="16"/>
    </row>
    <row r="175" customFormat="false" ht="15" hidden="false" customHeight="false" outlineLevel="0" collapsed="false">
      <c r="A175" s="18"/>
      <c r="B175" s="19"/>
      <c r="C175" s="19"/>
      <c r="D175" s="20"/>
    </row>
    <row r="176" customFormat="false" ht="15" hidden="false" customHeight="false" outlineLevel="0" collapsed="false">
      <c r="A176" s="14"/>
      <c r="B176" s="15"/>
      <c r="C176" s="15"/>
      <c r="D176" s="16"/>
    </row>
    <row r="177" customFormat="false" ht="15" hidden="false" customHeight="false" outlineLevel="0" collapsed="false">
      <c r="A177" s="18"/>
      <c r="B177" s="19"/>
      <c r="C177" s="19"/>
      <c r="D177" s="20"/>
    </row>
    <row r="178" customFormat="false" ht="15" hidden="false" customHeight="false" outlineLevel="0" collapsed="false">
      <c r="A178" s="14"/>
      <c r="B178" s="15"/>
      <c r="C178" s="15"/>
      <c r="D178" s="16"/>
    </row>
    <row r="179" customFormat="false" ht="15" hidden="false" customHeight="false" outlineLevel="0" collapsed="false">
      <c r="A179" s="18"/>
      <c r="B179" s="19"/>
      <c r="C179" s="19"/>
      <c r="D179" s="20"/>
    </row>
    <row r="180" customFormat="false" ht="15" hidden="false" customHeight="false" outlineLevel="0" collapsed="false">
      <c r="A180" s="14"/>
      <c r="B180" s="15"/>
      <c r="C180" s="15"/>
      <c r="D180" s="16"/>
    </row>
    <row r="181" customFormat="false" ht="15" hidden="false" customHeight="false" outlineLevel="0" collapsed="false">
      <c r="A181" s="18"/>
      <c r="B181" s="19"/>
      <c r="C181" s="19"/>
      <c r="D181" s="20"/>
    </row>
    <row r="182" customFormat="false" ht="15" hidden="false" customHeight="false" outlineLevel="0" collapsed="false">
      <c r="A182" s="14"/>
      <c r="B182" s="15"/>
      <c r="C182" s="15"/>
      <c r="D182" s="16"/>
    </row>
    <row r="183" customFormat="false" ht="15" hidden="false" customHeight="false" outlineLevel="0" collapsed="false">
      <c r="A183" s="18"/>
      <c r="B183" s="19"/>
      <c r="C183" s="19"/>
      <c r="D183" s="20"/>
    </row>
    <row r="184" customFormat="false" ht="15" hidden="false" customHeight="false" outlineLevel="0" collapsed="false">
      <c r="A184" s="14"/>
      <c r="B184" s="15"/>
      <c r="C184" s="15"/>
      <c r="D184" s="16"/>
    </row>
    <row r="185" customFormat="false" ht="15" hidden="false" customHeight="false" outlineLevel="0" collapsed="false">
      <c r="A185" s="18"/>
      <c r="B185" s="19"/>
      <c r="C185" s="19"/>
      <c r="D185" s="20"/>
    </row>
    <row r="186" customFormat="false" ht="15" hidden="false" customHeight="false" outlineLevel="0" collapsed="false">
      <c r="A186" s="14"/>
      <c r="B186" s="15"/>
      <c r="C186" s="15"/>
      <c r="D186" s="16"/>
    </row>
    <row r="187" customFormat="false" ht="15" hidden="false" customHeight="false" outlineLevel="0" collapsed="false">
      <c r="A187" s="18"/>
      <c r="B187" s="19"/>
      <c r="C187" s="19"/>
      <c r="D187" s="20"/>
    </row>
    <row r="188" customFormat="false" ht="15" hidden="false" customHeight="false" outlineLevel="0" collapsed="false">
      <c r="A188" s="14"/>
      <c r="B188" s="15"/>
      <c r="C188" s="15"/>
      <c r="D188" s="16"/>
    </row>
    <row r="189" customFormat="false" ht="15" hidden="false" customHeight="false" outlineLevel="0" collapsed="false">
      <c r="A189" s="18"/>
      <c r="B189" s="19"/>
      <c r="C189" s="19"/>
      <c r="D189" s="20"/>
    </row>
    <row r="190" customFormat="false" ht="15" hidden="false" customHeight="false" outlineLevel="0" collapsed="false">
      <c r="A190" s="14"/>
      <c r="B190" s="15"/>
      <c r="C190" s="15"/>
      <c r="D190" s="16"/>
    </row>
    <row r="191" customFormat="false" ht="15" hidden="false" customHeight="false" outlineLevel="0" collapsed="false">
      <c r="A191" s="18"/>
      <c r="B191" s="19"/>
      <c r="C191" s="19"/>
      <c r="D191" s="20"/>
    </row>
    <row r="192" customFormat="false" ht="15" hidden="false" customHeight="false" outlineLevel="0" collapsed="false">
      <c r="A192" s="14"/>
      <c r="B192" s="15"/>
      <c r="C192" s="15"/>
      <c r="D192" s="16"/>
    </row>
    <row r="193" customFormat="false" ht="15" hidden="false" customHeight="false" outlineLevel="0" collapsed="false">
      <c r="A193" s="18"/>
      <c r="B193" s="19"/>
      <c r="C193" s="19"/>
      <c r="D193" s="20"/>
    </row>
    <row r="194" customFormat="false" ht="15" hidden="false" customHeight="false" outlineLevel="0" collapsed="false">
      <c r="A194" s="14"/>
      <c r="B194" s="15"/>
      <c r="C194" s="15"/>
      <c r="D194" s="16"/>
    </row>
    <row r="195" customFormat="false" ht="15" hidden="false" customHeight="false" outlineLevel="0" collapsed="false">
      <c r="A195" s="18"/>
      <c r="B195" s="19"/>
      <c r="C195" s="19"/>
      <c r="D195" s="20"/>
    </row>
    <row r="196" customFormat="false" ht="15" hidden="false" customHeight="false" outlineLevel="0" collapsed="false">
      <c r="A196" s="14"/>
      <c r="B196" s="15"/>
      <c r="C196" s="15"/>
      <c r="D196" s="16"/>
    </row>
    <row r="197" customFormat="false" ht="15" hidden="false" customHeight="false" outlineLevel="0" collapsed="false">
      <c r="A197" s="18"/>
      <c r="B197" s="19"/>
      <c r="C197" s="19"/>
      <c r="D197" s="20"/>
    </row>
    <row r="198" customFormat="false" ht="15" hidden="false" customHeight="false" outlineLevel="0" collapsed="false">
      <c r="A198" s="14"/>
      <c r="B198" s="15"/>
      <c r="C198" s="15"/>
      <c r="D198" s="16"/>
    </row>
    <row r="199" customFormat="false" ht="15" hidden="false" customHeight="false" outlineLevel="0" collapsed="false">
      <c r="A199" s="18"/>
      <c r="B199" s="19"/>
      <c r="C199" s="19"/>
      <c r="D199" s="20"/>
    </row>
    <row r="200" customFormat="false" ht="15" hidden="false" customHeight="false" outlineLevel="0" collapsed="false">
      <c r="A200" s="14"/>
      <c r="B200" s="15"/>
      <c r="C200" s="15"/>
      <c r="D200" s="16"/>
    </row>
    <row r="201" customFormat="false" ht="15" hidden="false" customHeight="false" outlineLevel="0" collapsed="false">
      <c r="A201" s="18"/>
      <c r="B201" s="19"/>
      <c r="C201" s="19"/>
      <c r="D201" s="20"/>
    </row>
    <row r="202" customFormat="false" ht="15" hidden="false" customHeight="false" outlineLevel="0" collapsed="false">
      <c r="A202" s="14"/>
      <c r="B202" s="15"/>
      <c r="C202" s="15"/>
      <c r="D202" s="16"/>
    </row>
    <row r="203" customFormat="false" ht="15" hidden="false" customHeight="false" outlineLevel="0" collapsed="false">
      <c r="A203" s="18"/>
      <c r="B203" s="19"/>
      <c r="C203" s="19"/>
      <c r="D203" s="20"/>
    </row>
    <row r="204" customFormat="false" ht="15" hidden="false" customHeight="false" outlineLevel="0" collapsed="false">
      <c r="A204" s="14"/>
      <c r="B204" s="15"/>
      <c r="C204" s="15"/>
      <c r="D204" s="16"/>
    </row>
    <row r="205" customFormat="false" ht="15" hidden="false" customHeight="false" outlineLevel="0" collapsed="false">
      <c r="A205" s="18"/>
      <c r="B205" s="19"/>
      <c r="C205" s="19"/>
      <c r="D205" s="20"/>
    </row>
    <row r="206" customFormat="false" ht="15" hidden="false" customHeight="false" outlineLevel="0" collapsed="false">
      <c r="A206" s="14"/>
      <c r="B206" s="15"/>
      <c r="C206" s="15"/>
      <c r="D206" s="16"/>
    </row>
    <row r="207" customFormat="false" ht="15" hidden="false" customHeight="false" outlineLevel="0" collapsed="false">
      <c r="A207" s="18"/>
      <c r="B207" s="19"/>
      <c r="C207" s="19"/>
      <c r="D207" s="20"/>
    </row>
    <row r="208" customFormat="false" ht="15" hidden="false" customHeight="false" outlineLevel="0" collapsed="false">
      <c r="A208" s="14"/>
      <c r="B208" s="15"/>
      <c r="C208" s="15"/>
      <c r="D208" s="16"/>
    </row>
    <row r="209" customFormat="false" ht="15" hidden="false" customHeight="false" outlineLevel="0" collapsed="false">
      <c r="A209" s="18"/>
      <c r="B209" s="19"/>
      <c r="C209" s="19"/>
      <c r="D209" s="20"/>
    </row>
    <row r="210" customFormat="false" ht="15" hidden="false" customHeight="false" outlineLevel="0" collapsed="false">
      <c r="A210" s="14"/>
      <c r="B210" s="15"/>
      <c r="C210" s="15"/>
      <c r="D210" s="16"/>
    </row>
    <row r="211" customFormat="false" ht="15" hidden="false" customHeight="false" outlineLevel="0" collapsed="false">
      <c r="A211" s="18"/>
      <c r="B211" s="19"/>
      <c r="C211" s="19"/>
      <c r="D211" s="20"/>
    </row>
    <row r="212" customFormat="false" ht="15" hidden="false" customHeight="false" outlineLevel="0" collapsed="false">
      <c r="A212" s="14"/>
      <c r="B212" s="15"/>
      <c r="C212" s="15"/>
      <c r="D212" s="16"/>
    </row>
    <row r="213" customFormat="false" ht="15" hidden="false" customHeight="false" outlineLevel="0" collapsed="false">
      <c r="A213" s="18"/>
      <c r="B213" s="19"/>
      <c r="C213" s="19"/>
      <c r="D213" s="20"/>
    </row>
    <row r="214" customFormat="false" ht="15" hidden="false" customHeight="false" outlineLevel="0" collapsed="false">
      <c r="A214" s="14"/>
      <c r="B214" s="15"/>
      <c r="C214" s="15"/>
      <c r="D214" s="16"/>
    </row>
    <row r="215" customFormat="false" ht="15" hidden="false" customHeight="false" outlineLevel="0" collapsed="false">
      <c r="A215" s="18"/>
      <c r="B215" s="19"/>
      <c r="C215" s="19"/>
      <c r="D215" s="20"/>
    </row>
    <row r="216" customFormat="false" ht="15" hidden="false" customHeight="false" outlineLevel="0" collapsed="false">
      <c r="A216" s="14"/>
      <c r="B216" s="15"/>
      <c r="C216" s="15"/>
      <c r="D216" s="16"/>
    </row>
    <row r="217" customFormat="false" ht="15" hidden="false" customHeight="false" outlineLevel="0" collapsed="false">
      <c r="A217" s="18"/>
      <c r="B217" s="19"/>
      <c r="C217" s="19"/>
      <c r="D217" s="20"/>
    </row>
    <row r="218" customFormat="false" ht="15" hidden="false" customHeight="false" outlineLevel="0" collapsed="false">
      <c r="A218" s="14"/>
      <c r="B218" s="15"/>
      <c r="C218" s="15"/>
      <c r="D218" s="16"/>
    </row>
    <row r="219" customFormat="false" ht="15" hidden="false" customHeight="false" outlineLevel="0" collapsed="false">
      <c r="A219" s="18"/>
      <c r="B219" s="19"/>
      <c r="C219" s="19"/>
      <c r="D219" s="20"/>
    </row>
    <row r="220" customFormat="false" ht="15" hidden="false" customHeight="false" outlineLevel="0" collapsed="false">
      <c r="A220" s="14"/>
      <c r="B220" s="15"/>
      <c r="C220" s="15"/>
      <c r="D220" s="16"/>
    </row>
    <row r="221" customFormat="false" ht="15" hidden="false" customHeight="false" outlineLevel="0" collapsed="false">
      <c r="A221" s="18"/>
      <c r="B221" s="19"/>
      <c r="C221" s="19"/>
      <c r="D221" s="20"/>
    </row>
    <row r="222" customFormat="false" ht="15" hidden="false" customHeight="false" outlineLevel="0" collapsed="false">
      <c r="A222" s="14"/>
      <c r="B222" s="15"/>
      <c r="C222" s="15"/>
      <c r="D222" s="16"/>
    </row>
    <row r="223" customFormat="false" ht="15" hidden="false" customHeight="false" outlineLevel="0" collapsed="false">
      <c r="A223" s="18"/>
      <c r="B223" s="19"/>
      <c r="C223" s="19"/>
      <c r="D223" s="20"/>
    </row>
    <row r="224" customFormat="false" ht="15" hidden="false" customHeight="false" outlineLevel="0" collapsed="false">
      <c r="A224" s="14"/>
      <c r="B224" s="15"/>
      <c r="C224" s="15"/>
      <c r="D224" s="16"/>
    </row>
    <row r="225" customFormat="false" ht="15" hidden="false" customHeight="false" outlineLevel="0" collapsed="false">
      <c r="A225" s="18"/>
      <c r="B225" s="19"/>
      <c r="C225" s="19"/>
      <c r="D225" s="20"/>
    </row>
    <row r="226" customFormat="false" ht="15" hidden="false" customHeight="false" outlineLevel="0" collapsed="false">
      <c r="A226" s="14"/>
      <c r="B226" s="15"/>
      <c r="C226" s="15"/>
      <c r="D226" s="16"/>
    </row>
    <row r="227" customFormat="false" ht="15" hidden="false" customHeight="false" outlineLevel="0" collapsed="false">
      <c r="A227" s="18"/>
      <c r="B227" s="19"/>
      <c r="C227" s="19"/>
      <c r="D227" s="20"/>
    </row>
    <row r="228" customFormat="false" ht="15" hidden="false" customHeight="false" outlineLevel="0" collapsed="false">
      <c r="A228" s="14"/>
      <c r="B228" s="15"/>
      <c r="C228" s="15"/>
      <c r="D228" s="16"/>
    </row>
    <row r="229" customFormat="false" ht="15" hidden="false" customHeight="false" outlineLevel="0" collapsed="false">
      <c r="A229" s="18"/>
      <c r="B229" s="19"/>
      <c r="C229" s="19"/>
      <c r="D229" s="20"/>
    </row>
    <row r="230" customFormat="false" ht="15" hidden="false" customHeight="false" outlineLevel="0" collapsed="false">
      <c r="A230" s="14"/>
      <c r="B230" s="15"/>
      <c r="C230" s="15"/>
      <c r="D230" s="16"/>
    </row>
    <row r="231" customFormat="false" ht="15" hidden="false" customHeight="false" outlineLevel="0" collapsed="false">
      <c r="A231" s="18"/>
      <c r="B231" s="19"/>
      <c r="C231" s="19"/>
      <c r="D231" s="20"/>
    </row>
    <row r="232" customFormat="false" ht="15" hidden="false" customHeight="false" outlineLevel="0" collapsed="false">
      <c r="A232" s="14"/>
      <c r="B232" s="15"/>
      <c r="C232" s="15"/>
      <c r="D232" s="16"/>
    </row>
    <row r="233" customFormat="false" ht="15" hidden="false" customHeight="false" outlineLevel="0" collapsed="false">
      <c r="A233" s="18"/>
      <c r="B233" s="19"/>
      <c r="C233" s="19"/>
      <c r="D233" s="20"/>
    </row>
    <row r="234" customFormat="false" ht="15" hidden="false" customHeight="false" outlineLevel="0" collapsed="false">
      <c r="A234" s="14"/>
      <c r="B234" s="15"/>
      <c r="C234" s="15"/>
      <c r="D234" s="16"/>
    </row>
    <row r="235" customFormat="false" ht="15" hidden="false" customHeight="false" outlineLevel="0" collapsed="false">
      <c r="A235" s="18"/>
      <c r="B235" s="19"/>
      <c r="C235" s="19"/>
      <c r="D235" s="20"/>
    </row>
    <row r="236" customFormat="false" ht="15" hidden="false" customHeight="false" outlineLevel="0" collapsed="false">
      <c r="A236" s="14"/>
      <c r="B236" s="15"/>
      <c r="C236" s="15"/>
      <c r="D236" s="16"/>
    </row>
    <row r="237" customFormat="false" ht="15" hidden="false" customHeight="false" outlineLevel="0" collapsed="false">
      <c r="A237" s="18"/>
      <c r="B237" s="19"/>
      <c r="C237" s="19"/>
      <c r="D237" s="20"/>
    </row>
    <row r="238" customFormat="false" ht="15" hidden="false" customHeight="false" outlineLevel="0" collapsed="false">
      <c r="A238" s="14"/>
      <c r="B238" s="15"/>
      <c r="C238" s="15"/>
      <c r="D238" s="16"/>
    </row>
    <row r="239" customFormat="false" ht="15" hidden="false" customHeight="false" outlineLevel="0" collapsed="false">
      <c r="A239" s="18"/>
      <c r="B239" s="19"/>
      <c r="C239" s="19"/>
      <c r="D239" s="20"/>
    </row>
    <row r="240" customFormat="false" ht="15" hidden="false" customHeight="false" outlineLevel="0" collapsed="false">
      <c r="A240" s="14"/>
      <c r="B240" s="15"/>
      <c r="C240" s="15"/>
      <c r="D240" s="16"/>
    </row>
    <row r="241" customFormat="false" ht="15" hidden="false" customHeight="false" outlineLevel="0" collapsed="false">
      <c r="A241" s="18"/>
      <c r="B241" s="19"/>
      <c r="C241" s="19"/>
      <c r="D241" s="20"/>
    </row>
    <row r="242" customFormat="false" ht="15" hidden="false" customHeight="false" outlineLevel="0" collapsed="false">
      <c r="A242" s="14"/>
      <c r="B242" s="15"/>
      <c r="C242" s="15"/>
      <c r="D242" s="16"/>
    </row>
    <row r="243" customFormat="false" ht="15" hidden="false" customHeight="false" outlineLevel="0" collapsed="false">
      <c r="A243" s="18"/>
      <c r="B243" s="19"/>
      <c r="C243" s="19"/>
      <c r="D243" s="20"/>
    </row>
    <row r="244" customFormat="false" ht="15" hidden="false" customHeight="false" outlineLevel="0" collapsed="false">
      <c r="A244" s="14"/>
      <c r="B244" s="15"/>
      <c r="C244" s="15"/>
      <c r="D244" s="16"/>
    </row>
    <row r="245" customFormat="false" ht="15" hidden="false" customHeight="false" outlineLevel="0" collapsed="false">
      <c r="A245" s="18"/>
      <c r="B245" s="19"/>
      <c r="C245" s="19"/>
      <c r="D245" s="20"/>
    </row>
    <row r="246" customFormat="false" ht="15" hidden="false" customHeight="false" outlineLevel="0" collapsed="false">
      <c r="A246" s="14"/>
      <c r="B246" s="15"/>
      <c r="C246" s="15"/>
      <c r="D246" s="16"/>
    </row>
    <row r="247" customFormat="false" ht="15" hidden="false" customHeight="false" outlineLevel="0" collapsed="false">
      <c r="A247" s="18"/>
      <c r="B247" s="19"/>
      <c r="C247" s="19"/>
      <c r="D247" s="20"/>
    </row>
    <row r="248" customFormat="false" ht="15" hidden="false" customHeight="false" outlineLevel="0" collapsed="false">
      <c r="A248" s="14"/>
      <c r="B248" s="15"/>
      <c r="C248" s="15"/>
      <c r="D248" s="16"/>
    </row>
    <row r="249" customFormat="false" ht="15" hidden="false" customHeight="false" outlineLevel="0" collapsed="false">
      <c r="A249" s="18"/>
      <c r="B249" s="19"/>
      <c r="C249" s="19"/>
      <c r="D249" s="20"/>
    </row>
    <row r="250" customFormat="false" ht="15" hidden="false" customHeight="false" outlineLevel="0" collapsed="false">
      <c r="A250" s="14"/>
      <c r="B250" s="15"/>
      <c r="C250" s="15"/>
      <c r="D250" s="16"/>
    </row>
    <row r="251" customFormat="false" ht="15" hidden="false" customHeight="false" outlineLevel="0" collapsed="false">
      <c r="A251" s="18"/>
      <c r="B251" s="19"/>
      <c r="C251" s="19"/>
      <c r="D251" s="20"/>
    </row>
    <row r="252" customFormat="false" ht="15" hidden="false" customHeight="false" outlineLevel="0" collapsed="false">
      <c r="A252" s="14"/>
      <c r="B252" s="15"/>
      <c r="C252" s="15"/>
      <c r="D252" s="16"/>
    </row>
    <row r="253" customFormat="false" ht="15" hidden="false" customHeight="false" outlineLevel="0" collapsed="false">
      <c r="A253" s="18"/>
      <c r="B253" s="19"/>
      <c r="C253" s="19"/>
      <c r="D253" s="20"/>
    </row>
    <row r="254" customFormat="false" ht="15" hidden="false" customHeight="false" outlineLevel="0" collapsed="false">
      <c r="A254" s="14"/>
      <c r="B254" s="15"/>
      <c r="C254" s="15"/>
      <c r="D254" s="16"/>
    </row>
    <row r="255" customFormat="false" ht="15" hidden="false" customHeight="false" outlineLevel="0" collapsed="false">
      <c r="A255" s="18"/>
      <c r="B255" s="19"/>
      <c r="C255" s="19"/>
      <c r="D255" s="20"/>
    </row>
    <row r="256" customFormat="false" ht="15" hidden="false" customHeight="false" outlineLevel="0" collapsed="false">
      <c r="A256" s="14"/>
      <c r="B256" s="15"/>
      <c r="C256" s="15"/>
      <c r="D256" s="16"/>
    </row>
    <row r="257" customFormat="false" ht="15" hidden="false" customHeight="false" outlineLevel="0" collapsed="false">
      <c r="A257" s="18"/>
      <c r="B257" s="19"/>
      <c r="C257" s="19"/>
      <c r="D257" s="20"/>
    </row>
    <row r="258" customFormat="false" ht="15" hidden="false" customHeight="false" outlineLevel="0" collapsed="false">
      <c r="A258" s="14"/>
      <c r="B258" s="15"/>
      <c r="C258" s="15"/>
      <c r="D258" s="16"/>
    </row>
    <row r="259" customFormat="false" ht="15" hidden="false" customHeight="false" outlineLevel="0" collapsed="false">
      <c r="A259" s="18"/>
      <c r="B259" s="19"/>
      <c r="C259" s="19"/>
      <c r="D259" s="20"/>
    </row>
    <row r="260" customFormat="false" ht="15" hidden="false" customHeight="false" outlineLevel="0" collapsed="false">
      <c r="A260" s="14"/>
      <c r="B260" s="15"/>
      <c r="C260" s="15"/>
      <c r="D260" s="16"/>
    </row>
    <row r="261" customFormat="false" ht="15" hidden="false" customHeight="false" outlineLevel="0" collapsed="false">
      <c r="A261" s="18"/>
      <c r="B261" s="19"/>
      <c r="C261" s="19"/>
      <c r="D261" s="20"/>
    </row>
    <row r="262" customFormat="false" ht="15" hidden="false" customHeight="false" outlineLevel="0" collapsed="false">
      <c r="A262" s="14"/>
      <c r="B262" s="15"/>
      <c r="C262" s="15"/>
      <c r="D262" s="16"/>
    </row>
    <row r="263" customFormat="false" ht="15" hidden="false" customHeight="false" outlineLevel="0" collapsed="false">
      <c r="A263" s="18"/>
      <c r="B263" s="19"/>
      <c r="C263" s="19"/>
      <c r="D263" s="20"/>
    </row>
    <row r="264" customFormat="false" ht="15" hidden="false" customHeight="false" outlineLevel="0" collapsed="false">
      <c r="A264" s="14"/>
      <c r="B264" s="15"/>
      <c r="C264" s="15"/>
      <c r="D264" s="16"/>
    </row>
    <row r="265" customFormat="false" ht="15" hidden="false" customHeight="false" outlineLevel="0" collapsed="false">
      <c r="A265" s="18"/>
      <c r="B265" s="19"/>
      <c r="C265" s="19"/>
      <c r="D265" s="20"/>
    </row>
    <row r="266" customFormat="false" ht="15" hidden="false" customHeight="false" outlineLevel="0" collapsed="false">
      <c r="A266" s="14"/>
      <c r="B266" s="15"/>
      <c r="C266" s="15"/>
      <c r="D266" s="16"/>
    </row>
    <row r="267" customFormat="false" ht="15" hidden="false" customHeight="false" outlineLevel="0" collapsed="false">
      <c r="A267" s="18"/>
      <c r="B267" s="19"/>
      <c r="C267" s="19"/>
      <c r="D267" s="20"/>
    </row>
    <row r="268" customFormat="false" ht="15" hidden="false" customHeight="false" outlineLevel="0" collapsed="false">
      <c r="A268" s="14"/>
      <c r="B268" s="15"/>
      <c r="C268" s="15"/>
      <c r="D268" s="16"/>
    </row>
    <row r="269" customFormat="false" ht="15" hidden="false" customHeight="false" outlineLevel="0" collapsed="false">
      <c r="A269" s="18"/>
      <c r="B269" s="19"/>
      <c r="C269" s="19"/>
      <c r="D269" s="20"/>
    </row>
    <row r="270" customFormat="false" ht="15" hidden="false" customHeight="false" outlineLevel="0" collapsed="false">
      <c r="A270" s="14"/>
      <c r="B270" s="15"/>
      <c r="C270" s="15"/>
      <c r="D270" s="16"/>
    </row>
    <row r="271" customFormat="false" ht="15" hidden="false" customHeight="false" outlineLevel="0" collapsed="false">
      <c r="A271" s="18"/>
      <c r="B271" s="19"/>
      <c r="C271" s="19"/>
      <c r="D271" s="20"/>
    </row>
    <row r="272" customFormat="false" ht="15" hidden="false" customHeight="false" outlineLevel="0" collapsed="false">
      <c r="A272" s="14"/>
      <c r="B272" s="15"/>
      <c r="C272" s="15"/>
      <c r="D272" s="16"/>
    </row>
    <row r="273" customFormat="false" ht="15" hidden="false" customHeight="false" outlineLevel="0" collapsed="false">
      <c r="A273" s="18"/>
      <c r="B273" s="19"/>
      <c r="C273" s="19"/>
      <c r="D273" s="20"/>
    </row>
    <row r="274" customFormat="false" ht="15" hidden="false" customHeight="false" outlineLevel="0" collapsed="false">
      <c r="A274" s="14"/>
      <c r="B274" s="15"/>
      <c r="C274" s="15"/>
      <c r="D274" s="16"/>
    </row>
    <row r="275" customFormat="false" ht="15" hidden="false" customHeight="false" outlineLevel="0" collapsed="false">
      <c r="A275" s="18"/>
      <c r="B275" s="19"/>
      <c r="C275" s="19"/>
      <c r="D275" s="20"/>
    </row>
    <row r="276" customFormat="false" ht="15" hidden="false" customHeight="false" outlineLevel="0" collapsed="false">
      <c r="A276" s="14"/>
      <c r="B276" s="15"/>
      <c r="C276" s="15"/>
      <c r="D276" s="16"/>
    </row>
    <row r="277" customFormat="false" ht="15" hidden="false" customHeight="false" outlineLevel="0" collapsed="false">
      <c r="A277" s="18"/>
      <c r="B277" s="19"/>
      <c r="C277" s="19"/>
      <c r="D277" s="20"/>
    </row>
    <row r="278" customFormat="false" ht="15" hidden="false" customHeight="false" outlineLevel="0" collapsed="false">
      <c r="A278" s="14"/>
      <c r="B278" s="15"/>
      <c r="C278" s="15"/>
      <c r="D278" s="16"/>
    </row>
    <row r="279" customFormat="false" ht="15" hidden="false" customHeight="false" outlineLevel="0" collapsed="false">
      <c r="A279" s="18"/>
      <c r="B279" s="19"/>
      <c r="C279" s="19"/>
      <c r="D279" s="20"/>
    </row>
    <row r="280" customFormat="false" ht="15" hidden="false" customHeight="false" outlineLevel="0" collapsed="false">
      <c r="A280" s="14"/>
      <c r="B280" s="15"/>
      <c r="C280" s="15"/>
      <c r="D280" s="16"/>
    </row>
    <row r="281" customFormat="false" ht="15" hidden="false" customHeight="false" outlineLevel="0" collapsed="false">
      <c r="A281" s="18"/>
      <c r="B281" s="19"/>
      <c r="C281" s="19"/>
      <c r="D281" s="20"/>
    </row>
    <row r="282" customFormat="false" ht="15" hidden="false" customHeight="false" outlineLevel="0" collapsed="false">
      <c r="A282" s="14"/>
      <c r="B282" s="15"/>
      <c r="C282" s="15"/>
      <c r="D282" s="16"/>
    </row>
    <row r="283" customFormat="false" ht="15" hidden="false" customHeight="false" outlineLevel="0" collapsed="false">
      <c r="A283" s="18"/>
      <c r="B283" s="19"/>
      <c r="C283" s="19"/>
      <c r="D283" s="20"/>
    </row>
    <row r="284" customFormat="false" ht="15" hidden="false" customHeight="false" outlineLevel="0" collapsed="false">
      <c r="A284" s="14"/>
      <c r="B284" s="15"/>
      <c r="C284" s="15"/>
      <c r="D284" s="16"/>
    </row>
    <row r="285" customFormat="false" ht="15" hidden="false" customHeight="false" outlineLevel="0" collapsed="false">
      <c r="A285" s="18"/>
      <c r="B285" s="19"/>
      <c r="C285" s="19"/>
      <c r="D285" s="20"/>
    </row>
    <row r="286" customFormat="false" ht="15" hidden="false" customHeight="false" outlineLevel="0" collapsed="false">
      <c r="A286" s="14"/>
      <c r="B286" s="15"/>
      <c r="C286" s="15"/>
      <c r="D286" s="16"/>
    </row>
    <row r="287" customFormat="false" ht="15" hidden="false" customHeight="false" outlineLevel="0" collapsed="false">
      <c r="A287" s="18"/>
      <c r="B287" s="19"/>
      <c r="C287" s="19"/>
      <c r="D287" s="20"/>
    </row>
    <row r="288" customFormat="false" ht="15" hidden="false" customHeight="false" outlineLevel="0" collapsed="false">
      <c r="A288" s="14"/>
      <c r="B288" s="15"/>
      <c r="C288" s="15"/>
      <c r="D288" s="16"/>
    </row>
    <row r="289" customFormat="false" ht="15" hidden="false" customHeight="false" outlineLevel="0" collapsed="false">
      <c r="A289" s="18"/>
      <c r="B289" s="19"/>
      <c r="C289" s="19"/>
      <c r="D289" s="20"/>
    </row>
    <row r="290" customFormat="false" ht="15" hidden="false" customHeight="false" outlineLevel="0" collapsed="false">
      <c r="A290" s="14"/>
      <c r="B290" s="15"/>
      <c r="C290" s="15"/>
      <c r="D290" s="16"/>
    </row>
    <row r="291" customFormat="false" ht="15" hidden="false" customHeight="false" outlineLevel="0" collapsed="false">
      <c r="A291" s="18"/>
      <c r="B291" s="19"/>
      <c r="C291" s="19"/>
      <c r="D291" s="20"/>
    </row>
    <row r="292" customFormat="false" ht="15" hidden="false" customHeight="false" outlineLevel="0" collapsed="false">
      <c r="A292" s="14"/>
      <c r="B292" s="15"/>
      <c r="C292" s="15"/>
      <c r="D292" s="16"/>
    </row>
    <row r="293" customFormat="false" ht="15" hidden="false" customHeight="false" outlineLevel="0" collapsed="false">
      <c r="A293" s="18"/>
      <c r="B293" s="19"/>
      <c r="C293" s="19"/>
      <c r="D293" s="20"/>
    </row>
    <row r="294" customFormat="false" ht="15" hidden="false" customHeight="false" outlineLevel="0" collapsed="false">
      <c r="A294" s="14"/>
      <c r="B294" s="15"/>
      <c r="C294" s="15"/>
      <c r="D294" s="16"/>
    </row>
    <row r="295" customFormat="false" ht="15" hidden="false" customHeight="false" outlineLevel="0" collapsed="false">
      <c r="A295" s="18"/>
      <c r="B295" s="19"/>
      <c r="C295" s="19"/>
      <c r="D295" s="20"/>
    </row>
    <row r="296" customFormat="false" ht="15" hidden="false" customHeight="false" outlineLevel="0" collapsed="false">
      <c r="A296" s="14"/>
      <c r="B296" s="15"/>
      <c r="C296" s="15"/>
      <c r="D296" s="16"/>
    </row>
    <row r="297" customFormat="false" ht="15" hidden="false" customHeight="false" outlineLevel="0" collapsed="false">
      <c r="A297" s="18"/>
      <c r="B297" s="19"/>
      <c r="C297" s="19"/>
      <c r="D297" s="20"/>
    </row>
    <row r="298" customFormat="false" ht="15" hidden="false" customHeight="false" outlineLevel="0" collapsed="false">
      <c r="A298" s="14"/>
      <c r="B298" s="15"/>
      <c r="C298" s="15"/>
      <c r="D298" s="16"/>
    </row>
    <row r="299" customFormat="false" ht="15" hidden="false" customHeight="false" outlineLevel="0" collapsed="false">
      <c r="A299" s="18"/>
      <c r="B299" s="19"/>
      <c r="C299" s="19"/>
      <c r="D299" s="20"/>
    </row>
    <row r="300" customFormat="false" ht="15" hidden="false" customHeight="false" outlineLevel="0" collapsed="false">
      <c r="A300" s="14"/>
      <c r="B300" s="15"/>
      <c r="C300" s="15"/>
      <c r="D300" s="16"/>
    </row>
    <row r="301" customFormat="false" ht="15" hidden="false" customHeight="false" outlineLevel="0" collapsed="false">
      <c r="A301" s="18"/>
      <c r="B301" s="19"/>
      <c r="C301" s="19"/>
      <c r="D301" s="20"/>
    </row>
    <row r="302" customFormat="false" ht="15" hidden="false" customHeight="false" outlineLevel="0" collapsed="false">
      <c r="A302" s="14"/>
      <c r="B302" s="15"/>
      <c r="C302" s="15"/>
      <c r="D302" s="16"/>
    </row>
    <row r="303" customFormat="false" ht="15" hidden="false" customHeight="false" outlineLevel="0" collapsed="false">
      <c r="A303" s="18"/>
      <c r="B303" s="19"/>
      <c r="C303" s="19"/>
      <c r="D303" s="20"/>
    </row>
    <row r="304" customFormat="false" ht="15" hidden="false" customHeight="false" outlineLevel="0" collapsed="false">
      <c r="A304" s="14"/>
      <c r="B304" s="15"/>
      <c r="C304" s="15"/>
      <c r="D304" s="16"/>
    </row>
    <row r="305" customFormat="false" ht="15" hidden="false" customHeight="false" outlineLevel="0" collapsed="false">
      <c r="A305" s="18"/>
      <c r="B305" s="19"/>
      <c r="C305" s="19"/>
      <c r="D305" s="20"/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B6:B305" type="list">
      <formula1>"Software &amp; tools,Marketing &amp; ads,Supplies,Equipment,Platform fees,Education,Other"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5FC7"/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5" min="3" style="0" width="13"/>
    <col collapsed="false" customWidth="true" hidden="false" outlineLevel="0" max="6" min="6" style="0" width="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4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2" min="12" style="0" width="4"/>
  </cols>
  <sheetData>
    <row r="1" customFormat="false" ht="25.5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B4" s="7" t="s">
        <v>52</v>
      </c>
      <c r="C4" s="12" t="n">
        <v>2026</v>
      </c>
    </row>
    <row r="6" customFormat="false" ht="15.75" hidden="false" customHeight="true" outlineLevel="0" collapsed="false">
      <c r="B6" s="21" t="s">
        <v>53</v>
      </c>
      <c r="C6" s="21"/>
      <c r="D6" s="21" t="s">
        <v>54</v>
      </c>
      <c r="E6" s="21"/>
      <c r="G6" s="21" t="s">
        <v>55</v>
      </c>
      <c r="H6" s="21"/>
      <c r="J6" s="21" t="s">
        <v>56</v>
      </c>
      <c r="K6" s="21"/>
    </row>
    <row r="7" customFormat="false" ht="27.75" hidden="false" customHeight="true" outlineLevel="0" collapsed="false">
      <c r="B7" s="22" t="n">
        <f aca="false">SUMIFS(Income!$F$6:$F$305,Income!$A$6:$A$305,"&gt;="&amp;DATE($C$4,1,1),Income!$A$6:$A$305,"&lt;"&amp;DATE($C$4+1,1,1))</f>
        <v>45.96</v>
      </c>
      <c r="C7" s="22"/>
      <c r="D7" s="23" t="n">
        <f aca="false">SUMIFS(Expenses!$D$6:$D$305,Expenses!$A$6:$A$305,"&gt;="&amp;DATE($C$4,1,1),Expenses!$A$6:$A$305,"&lt;"&amp;DATE($C$4+1,1,1))</f>
        <v>37.99</v>
      </c>
      <c r="E7" s="23"/>
      <c r="G7" s="24" t="n">
        <f aca="false">B7-D7</f>
        <v>7.97</v>
      </c>
      <c r="H7" s="24"/>
      <c r="J7" s="25" t="n">
        <f aca="false">IF($B$7=0,"",($B$7-$D$7)/$B$7)</f>
        <v>0.173411662315057</v>
      </c>
      <c r="K7" s="25"/>
    </row>
    <row r="10" customFormat="false" ht="15" hidden="false" customHeight="false" outlineLevel="0" collapsed="false">
      <c r="B10" s="5" t="s">
        <v>57</v>
      </c>
      <c r="G10" s="5" t="s">
        <v>58</v>
      </c>
      <c r="J10" s="5" t="s">
        <v>59</v>
      </c>
    </row>
    <row r="11" customFormat="false" ht="19.5" hidden="false" customHeight="true" outlineLevel="0" collapsed="false">
      <c r="A11" s="11" t="s">
        <v>60</v>
      </c>
      <c r="B11" s="11" t="s">
        <v>61</v>
      </c>
      <c r="C11" s="11" t="s">
        <v>62</v>
      </c>
      <c r="D11" s="11" t="s">
        <v>40</v>
      </c>
      <c r="E11" s="11" t="s">
        <v>63</v>
      </c>
      <c r="G11" s="11" t="s">
        <v>30</v>
      </c>
      <c r="H11" s="11" t="s">
        <v>64</v>
      </c>
      <c r="J11" s="11" t="s">
        <v>65</v>
      </c>
      <c r="K11" s="11" t="s">
        <v>64</v>
      </c>
    </row>
    <row r="12" customFormat="false" ht="15" hidden="false" customHeight="false" outlineLevel="0" collapsed="false">
      <c r="A12" s="26" t="n">
        <v>1</v>
      </c>
      <c r="B12" s="27" t="s">
        <v>66</v>
      </c>
      <c r="C12" s="28" t="n">
        <f aca="false">SUMIFS(Income!$F$6:$F$305,Income!$A$6:$A$305,"&gt;="&amp;DATE($C$4,$A12,1),Income!$A$6:$A$305,"&lt;"&amp;DATE($C$4,$A12+1,1))</f>
        <v>0</v>
      </c>
      <c r="D12" s="28" t="n">
        <f aca="false">SUMIFS(Expenses!$D$6:$D$305,Expenses!$A$6:$A$305,"&gt;="&amp;DATE($C$4,$A12,1),Expenses!$A$6:$A$305,"&lt;"&amp;DATE($C$4,$A12+1,1))</f>
        <v>0</v>
      </c>
      <c r="E12" s="29" t="n">
        <f aca="false">C12-D12</f>
        <v>0</v>
      </c>
      <c r="G12" s="27" t="s">
        <v>34</v>
      </c>
      <c r="H12" s="28" t="n">
        <f aca="false">SUMIFS(Income!$F$6:$F$305,Income!$C$6:$C$305,"Gumroad",Income!$A$6:$A$305,"&gt;="&amp;DATE($C$4,1,1),Income!$A$6:$A$305,"&lt;"&amp;DATE($C$4+1,1,1))</f>
        <v>22.68</v>
      </c>
      <c r="J12" s="27" t="str">
        <f aca="false">IF(Products!A6="","",Products!A6)</f>
        <v>Budget Template</v>
      </c>
      <c r="K12" s="28" t="n">
        <f aca="false">IF($J12="","",SUMIFS(Income!$F$6:$F$305,Income!$B$6:$B$305,$J12,Income!$A$6:$A$305,"&gt;="&amp;DATE($C$4,1,1),Income!$A$6:$A$305,"&lt;"&amp;DATE($C$4+1,1,1)))</f>
        <v>19.73</v>
      </c>
    </row>
    <row r="13" customFormat="false" ht="15" hidden="false" customHeight="false" outlineLevel="0" collapsed="false">
      <c r="A13" s="26" t="n">
        <v>2</v>
      </c>
      <c r="B13" s="27" t="s">
        <v>67</v>
      </c>
      <c r="C13" s="28" t="n">
        <f aca="false">SUMIFS(Income!$F$6:$F$305,Income!$A$6:$A$305,"&gt;="&amp;DATE($C$4,$A13,1),Income!$A$6:$A$305,"&lt;"&amp;DATE($C$4,$A13+1,1))</f>
        <v>0</v>
      </c>
      <c r="D13" s="28" t="n">
        <f aca="false">SUMIFS(Expenses!$D$6:$D$305,Expenses!$A$6:$A$305,"&gt;="&amp;DATE($C$4,$A13,1),Expenses!$A$6:$A$305,"&lt;"&amp;DATE($C$4,$A13+1,1))</f>
        <v>0</v>
      </c>
      <c r="E13" s="29" t="n">
        <f aca="false">C13-D13</f>
        <v>0</v>
      </c>
      <c r="G13" s="27" t="s">
        <v>36</v>
      </c>
      <c r="H13" s="28" t="n">
        <f aca="false">SUMIFS(Income!$F$6:$F$305,Income!$C$6:$C$305,"Etsy",Income!$A$6:$A$305,"&gt;="&amp;DATE($C$4,1,1),Income!$A$6:$A$305,"&lt;"&amp;DATE($C$4+1,1,1))</f>
        <v>9.28</v>
      </c>
      <c r="J13" s="27" t="str">
        <f aca="false">IF(Products!A7="","",Products!A7)</f>
        <v>Invoice Template Pack</v>
      </c>
      <c r="K13" s="28" t="n">
        <f aca="false">IF($J13="","",SUMIFS(Income!$F$6:$F$305,Income!$B$6:$B$305,$J13,Income!$A$6:$A$305,"&gt;="&amp;DATE($C$4,1,1),Income!$A$6:$A$305,"&lt;"&amp;DATE($C$4+1,1,1)))</f>
        <v>26.23</v>
      </c>
    </row>
    <row r="14" customFormat="false" ht="15" hidden="false" customHeight="false" outlineLevel="0" collapsed="false">
      <c r="A14" s="26" t="n">
        <v>3</v>
      </c>
      <c r="B14" s="27" t="s">
        <v>68</v>
      </c>
      <c r="C14" s="28" t="n">
        <f aca="false">SUMIFS(Income!$F$6:$F$305,Income!$A$6:$A$305,"&gt;="&amp;DATE($C$4,$A14,1),Income!$A$6:$A$305,"&lt;"&amp;DATE($C$4,$A14+1,1))</f>
        <v>0</v>
      </c>
      <c r="D14" s="28" t="n">
        <f aca="false">SUMIFS(Expenses!$D$6:$D$305,Expenses!$A$6:$A$305,"&gt;="&amp;DATE($C$4,$A14,1),Expenses!$A$6:$A$305,"&lt;"&amp;DATE($C$4,$A14+1,1))</f>
        <v>0</v>
      </c>
      <c r="E14" s="29" t="n">
        <f aca="false">C14-D14</f>
        <v>0</v>
      </c>
      <c r="G14" s="27" t="s">
        <v>69</v>
      </c>
      <c r="H14" s="28" t="n">
        <f aca="false">SUMIFS(Income!$F$6:$F$305,Income!$C$6:$C$305,"Shopify",Income!$A$6:$A$305,"&gt;="&amp;DATE($C$4,1,1),Income!$A$6:$A$305,"&lt;"&amp;DATE($C$4+1,1,1))</f>
        <v>0</v>
      </c>
      <c r="J14" s="27" t="str">
        <f aca="false">IF(Products!A8="","",Products!A8)</f>
        <v/>
      </c>
      <c r="K14" s="28" t="str">
        <f aca="false">IF($J14="","",SUMIFS(Income!$F$6:$F$305,Income!$B$6:$B$305,$J14,Income!$A$6:$A$305,"&gt;="&amp;DATE($C$4,1,1),Income!$A$6:$A$305,"&lt;"&amp;DATE($C$4+1,1,1)))</f>
        <v/>
      </c>
    </row>
    <row r="15" customFormat="false" ht="15" hidden="false" customHeight="false" outlineLevel="0" collapsed="false">
      <c r="A15" s="26" t="n">
        <v>4</v>
      </c>
      <c r="B15" s="27" t="s">
        <v>70</v>
      </c>
      <c r="C15" s="28" t="n">
        <f aca="false">SUMIFS(Income!$F$6:$F$305,Income!$A$6:$A$305,"&gt;="&amp;DATE($C$4,$A15,1),Income!$A$6:$A$305,"&lt;"&amp;DATE($C$4,$A15+1,1))</f>
        <v>0</v>
      </c>
      <c r="D15" s="28" t="n">
        <f aca="false">SUMIFS(Expenses!$D$6:$D$305,Expenses!$A$6:$A$305,"&gt;="&amp;DATE($C$4,$A15,1),Expenses!$A$6:$A$305,"&lt;"&amp;DATE($C$4,$A15+1,1))</f>
        <v>0</v>
      </c>
      <c r="E15" s="29" t="n">
        <f aca="false">C15-D15</f>
        <v>0</v>
      </c>
      <c r="G15" s="27" t="s">
        <v>38</v>
      </c>
      <c r="H15" s="28" t="n">
        <f aca="false">SUMIFS(Income!$F$6:$F$305,Income!$C$6:$C$305,"Direct",Income!$A$6:$A$305,"&gt;="&amp;DATE($C$4,1,1),Income!$A$6:$A$305,"&lt;"&amp;DATE($C$4+1,1,1))</f>
        <v>14</v>
      </c>
      <c r="J15" s="27" t="str">
        <f aca="false">IF(Products!A9="","",Products!A9)</f>
        <v/>
      </c>
      <c r="K15" s="28" t="str">
        <f aca="false">IF($J15="","",SUMIFS(Income!$F$6:$F$305,Income!$B$6:$B$305,$J15,Income!$A$6:$A$305,"&gt;="&amp;DATE($C$4,1,1),Income!$A$6:$A$305,"&lt;"&amp;DATE($C$4+1,1,1)))</f>
        <v/>
      </c>
    </row>
    <row r="16" customFormat="false" ht="15" hidden="false" customHeight="false" outlineLevel="0" collapsed="false">
      <c r="A16" s="26" t="n">
        <v>5</v>
      </c>
      <c r="B16" s="27" t="s">
        <v>71</v>
      </c>
      <c r="C16" s="28" t="n">
        <f aca="false">SUMIFS(Income!$F$6:$F$305,Income!$A$6:$A$305,"&gt;="&amp;DATE($C$4,$A16,1),Income!$A$6:$A$305,"&lt;"&amp;DATE($C$4,$A16+1,1))</f>
        <v>0</v>
      </c>
      <c r="D16" s="28" t="n">
        <f aca="false">SUMIFS(Expenses!$D$6:$D$305,Expenses!$A$6:$A$305,"&gt;="&amp;DATE($C$4,$A16,1),Expenses!$A$6:$A$305,"&lt;"&amp;DATE($C$4,$A16+1,1))</f>
        <v>0</v>
      </c>
      <c r="E16" s="29" t="n">
        <f aca="false">C16-D16</f>
        <v>0</v>
      </c>
      <c r="G16" s="27" t="s">
        <v>72</v>
      </c>
      <c r="H16" s="28" t="n">
        <f aca="false">SUMIFS(Income!$F$6:$F$305,Income!$C$6:$C$305,"Other",Income!$A$6:$A$305,"&gt;="&amp;DATE($C$4,1,1),Income!$A$6:$A$305,"&lt;"&amp;DATE($C$4+1,1,1))</f>
        <v>0</v>
      </c>
      <c r="J16" s="27" t="str">
        <f aca="false">IF(Products!A10="","",Products!A10)</f>
        <v/>
      </c>
      <c r="K16" s="28" t="str">
        <f aca="false">IF($J16="","",SUMIFS(Income!$F$6:$F$305,Income!$B$6:$B$305,$J16,Income!$A$6:$A$305,"&gt;="&amp;DATE($C$4,1,1),Income!$A$6:$A$305,"&lt;"&amp;DATE($C$4+1,1,1)))</f>
        <v/>
      </c>
    </row>
    <row r="17" customFormat="false" ht="15" hidden="false" customHeight="false" outlineLevel="0" collapsed="false">
      <c r="A17" s="26" t="n">
        <v>6</v>
      </c>
      <c r="B17" s="27" t="s">
        <v>73</v>
      </c>
      <c r="C17" s="28" t="n">
        <f aca="false">SUMIFS(Income!$F$6:$F$305,Income!$A$6:$A$305,"&gt;="&amp;DATE($C$4,$A17,1),Income!$A$6:$A$305,"&lt;"&amp;DATE($C$4,$A17+1,1))</f>
        <v>0</v>
      </c>
      <c r="D17" s="28" t="n">
        <f aca="false">SUMIFS(Expenses!$D$6:$D$305,Expenses!$A$6:$A$305,"&gt;="&amp;DATE($C$4,$A17,1),Expenses!$A$6:$A$305,"&lt;"&amp;DATE($C$4,$A17+1,1))</f>
        <v>0</v>
      </c>
      <c r="E17" s="29" t="n">
        <f aca="false">C17-D17</f>
        <v>0</v>
      </c>
      <c r="J17" s="27" t="str">
        <f aca="false">IF(Products!A11="","",Products!A11)</f>
        <v/>
      </c>
      <c r="K17" s="28" t="str">
        <f aca="false">IF($J17="","",SUMIFS(Income!$F$6:$F$305,Income!$B$6:$B$305,$J17,Income!$A$6:$A$305,"&gt;="&amp;DATE($C$4,1,1),Income!$A$6:$A$305,"&lt;"&amp;DATE($C$4+1,1,1)))</f>
        <v/>
      </c>
    </row>
    <row r="18" customFormat="false" ht="15" hidden="false" customHeight="false" outlineLevel="0" collapsed="false">
      <c r="A18" s="26" t="n">
        <v>7</v>
      </c>
      <c r="B18" s="27" t="s">
        <v>74</v>
      </c>
      <c r="C18" s="28" t="n">
        <f aca="false">SUMIFS(Income!$F$6:$F$305,Income!$A$6:$A$305,"&gt;="&amp;DATE($C$4,$A18,1),Income!$A$6:$A$305,"&lt;"&amp;DATE($C$4,$A18+1,1))</f>
        <v>22.68</v>
      </c>
      <c r="D18" s="28" t="n">
        <f aca="false">SUMIFS(Expenses!$D$6:$D$305,Expenses!$A$6:$A$305,"&gt;="&amp;DATE($C$4,$A18,1),Expenses!$A$6:$A$305,"&lt;"&amp;DATE($C$4,$A18+1,1))</f>
        <v>12.99</v>
      </c>
      <c r="E18" s="29" t="n">
        <f aca="false">C18-D18</f>
        <v>9.69</v>
      </c>
      <c r="J18" s="27" t="str">
        <f aca="false">IF(Products!A12="","",Products!A12)</f>
        <v/>
      </c>
      <c r="K18" s="28" t="str">
        <f aca="false">IF($J18="","",SUMIFS(Income!$F$6:$F$305,Income!$B$6:$B$305,$J18,Income!$A$6:$A$305,"&gt;="&amp;DATE($C$4,1,1),Income!$A$6:$A$305,"&lt;"&amp;DATE($C$4+1,1,1)))</f>
        <v/>
      </c>
    </row>
    <row r="19" customFormat="false" ht="15" hidden="false" customHeight="false" outlineLevel="0" collapsed="false">
      <c r="A19" s="26" t="n">
        <v>8</v>
      </c>
      <c r="B19" s="27" t="s">
        <v>75</v>
      </c>
      <c r="C19" s="28" t="n">
        <f aca="false">SUMIFS(Income!$F$6:$F$305,Income!$A$6:$A$305,"&gt;="&amp;DATE($C$4,$A19,1),Income!$A$6:$A$305,"&lt;"&amp;DATE($C$4,$A19+1,1))</f>
        <v>23.28</v>
      </c>
      <c r="D19" s="28" t="n">
        <f aca="false">SUMIFS(Expenses!$D$6:$D$305,Expenses!$A$6:$A$305,"&gt;="&amp;DATE($C$4,$A19,1),Expenses!$A$6:$A$305,"&lt;"&amp;DATE($C$4,$A19+1,1))</f>
        <v>25</v>
      </c>
      <c r="E19" s="29" t="n">
        <f aca="false">C19-D19</f>
        <v>-1.72</v>
      </c>
      <c r="J19" s="27" t="str">
        <f aca="false">IF(Products!A13="","",Products!A13)</f>
        <v/>
      </c>
      <c r="K19" s="28" t="str">
        <f aca="false">IF($J19="","",SUMIFS(Income!$F$6:$F$305,Income!$B$6:$B$305,$J19,Income!$A$6:$A$305,"&gt;="&amp;DATE($C$4,1,1),Income!$A$6:$A$305,"&lt;"&amp;DATE($C$4+1,1,1)))</f>
        <v/>
      </c>
    </row>
    <row r="20" customFormat="false" ht="15" hidden="false" customHeight="false" outlineLevel="0" collapsed="false">
      <c r="A20" s="26" t="n">
        <v>9</v>
      </c>
      <c r="B20" s="27" t="s">
        <v>76</v>
      </c>
      <c r="C20" s="28" t="n">
        <f aca="false">SUMIFS(Income!$F$6:$F$305,Income!$A$6:$A$305,"&gt;="&amp;DATE($C$4,$A20,1),Income!$A$6:$A$305,"&lt;"&amp;DATE($C$4,$A20+1,1))</f>
        <v>0</v>
      </c>
      <c r="D20" s="28" t="n">
        <f aca="false">SUMIFS(Expenses!$D$6:$D$305,Expenses!$A$6:$A$305,"&gt;="&amp;DATE($C$4,$A20,1),Expenses!$A$6:$A$305,"&lt;"&amp;DATE($C$4,$A20+1,1))</f>
        <v>0</v>
      </c>
      <c r="E20" s="29" t="n">
        <f aca="false">C20-D20</f>
        <v>0</v>
      </c>
      <c r="J20" s="30" t="str">
        <f aca="false">IF(Products!A14="","",Products!A14)</f>
        <v/>
      </c>
      <c r="K20" s="31" t="str">
        <f aca="false">IF($J20="","",SUMIFS(Income!$F$6:$F$305,Income!$B$6:$B$305,$J20,Income!$A$6:$A$305,"&gt;="&amp;DATE($C$4,1,1),Income!$A$6:$A$305,"&lt;"&amp;DATE($C$4+1,1,1)))</f>
        <v/>
      </c>
    </row>
    <row r="21" customFormat="false" ht="15" hidden="false" customHeight="false" outlineLevel="0" collapsed="false">
      <c r="A21" s="26" t="n">
        <v>10</v>
      </c>
      <c r="B21" s="27" t="s">
        <v>77</v>
      </c>
      <c r="C21" s="28" t="n">
        <f aca="false">SUMIFS(Income!$F$6:$F$305,Income!$A$6:$A$305,"&gt;="&amp;DATE($C$4,$A21,1),Income!$A$6:$A$305,"&lt;"&amp;DATE($C$4,$A21+1,1))</f>
        <v>0</v>
      </c>
      <c r="D21" s="28" t="n">
        <f aca="false">SUMIFS(Expenses!$D$6:$D$305,Expenses!$A$6:$A$305,"&gt;="&amp;DATE($C$4,$A21,1),Expenses!$A$6:$A$305,"&lt;"&amp;DATE($C$4,$A21+1,1))</f>
        <v>0</v>
      </c>
      <c r="E21" s="29" t="n">
        <f aca="false">C21-D21</f>
        <v>0</v>
      </c>
      <c r="J21" s="30" t="str">
        <f aca="false">IF(Products!A15="","",Products!A15)</f>
        <v/>
      </c>
      <c r="K21" s="31" t="str">
        <f aca="false">IF($J21="","",SUMIFS(Income!$F$6:$F$305,Income!$B$6:$B$305,$J21,Income!$A$6:$A$305,"&gt;="&amp;DATE($C$4,1,1),Income!$A$6:$A$305,"&lt;"&amp;DATE($C$4+1,1,1)))</f>
        <v/>
      </c>
    </row>
    <row r="22" customFormat="false" ht="15" hidden="false" customHeight="false" outlineLevel="0" collapsed="false">
      <c r="A22" s="26" t="n">
        <v>11</v>
      </c>
      <c r="B22" s="27" t="s">
        <v>78</v>
      </c>
      <c r="C22" s="28" t="n">
        <f aca="false">SUMIFS(Income!$F$6:$F$305,Income!$A$6:$A$305,"&gt;="&amp;DATE($C$4,$A22,1),Income!$A$6:$A$305,"&lt;"&amp;DATE($C$4,$A22+1,1))</f>
        <v>0</v>
      </c>
      <c r="D22" s="28" t="n">
        <f aca="false">SUMIFS(Expenses!$D$6:$D$305,Expenses!$A$6:$A$305,"&gt;="&amp;DATE($C$4,$A22,1),Expenses!$A$6:$A$305,"&lt;"&amp;DATE($C$4,$A22+1,1))</f>
        <v>0</v>
      </c>
      <c r="E22" s="29" t="n">
        <f aca="false">C22-D22</f>
        <v>0</v>
      </c>
      <c r="J22" s="30" t="str">
        <f aca="false">IF(Products!A16="","",Products!A16)</f>
        <v/>
      </c>
      <c r="K22" s="31" t="str">
        <f aca="false">IF($J22="","",SUMIFS(Income!$F$6:$F$305,Income!$B$6:$B$305,$J22,Income!$A$6:$A$305,"&gt;="&amp;DATE($C$4,1,1),Income!$A$6:$A$305,"&lt;"&amp;DATE($C$4+1,1,1)))</f>
        <v/>
      </c>
    </row>
    <row r="23" customFormat="false" ht="15" hidden="false" customHeight="false" outlineLevel="0" collapsed="false">
      <c r="A23" s="26" t="n">
        <v>12</v>
      </c>
      <c r="B23" s="27" t="s">
        <v>79</v>
      </c>
      <c r="C23" s="28" t="n">
        <f aca="false">SUMIFS(Income!$F$6:$F$305,Income!$A$6:$A$305,"&gt;="&amp;DATE($C$4,$A23,1),Income!$A$6:$A$305,"&lt;"&amp;DATE($C$4,$A23+1,1))</f>
        <v>0</v>
      </c>
      <c r="D23" s="28" t="n">
        <f aca="false">SUMIFS(Expenses!$D$6:$D$305,Expenses!$A$6:$A$305,"&gt;="&amp;DATE($C$4,$A23,1),Expenses!$A$6:$A$305,"&lt;"&amp;DATE($C$4,$A23+1,1))</f>
        <v>0</v>
      </c>
      <c r="E23" s="29" t="n">
        <f aca="false">C23-D23</f>
        <v>0</v>
      </c>
      <c r="J23" s="30" t="str">
        <f aca="false">IF(Products!A17="","",Products!A17)</f>
        <v/>
      </c>
      <c r="K23" s="31" t="str">
        <f aca="false">IF($J23="","",SUMIFS(Income!$F$6:$F$305,Income!$B$6:$B$305,$J23,Income!$A$6:$A$305,"&gt;="&amp;DATE($C$4,1,1),Income!$A$6:$A$305,"&lt;"&amp;DATE($C$4+1,1,1)))</f>
        <v/>
      </c>
    </row>
    <row r="24" customFormat="false" ht="15" hidden="false" customHeight="false" outlineLevel="0" collapsed="false">
      <c r="J24" s="30" t="str">
        <f aca="false">IF(Products!A18="","",Products!A18)</f>
        <v/>
      </c>
      <c r="K24" s="31" t="str">
        <f aca="false">IF($J24="","",SUMIFS(Income!$F$6:$F$305,Income!$B$6:$B$305,$J24,Income!$A$6:$A$305,"&gt;="&amp;DATE($C$4,1,1),Income!$A$6:$A$305,"&lt;"&amp;DATE($C$4+1,1,1)))</f>
        <v/>
      </c>
    </row>
    <row r="25" customFormat="false" ht="15" hidden="false" customHeight="false" outlineLevel="0" collapsed="false">
      <c r="J25" s="30" t="str">
        <f aca="false">IF(Products!A19="","",Products!A19)</f>
        <v/>
      </c>
      <c r="K25" s="31" t="str">
        <f aca="false">IF($J25="","",SUMIFS(Income!$F$6:$F$305,Income!$B$6:$B$305,$J25,Income!$A$6:$A$305,"&gt;="&amp;DATE($C$4,1,1),Income!$A$6:$A$305,"&lt;"&amp;DATE($C$4+1,1,1)))</f>
        <v/>
      </c>
    </row>
    <row r="26" customFormat="false" ht="15" hidden="false" customHeight="false" outlineLevel="0" collapsed="false">
      <c r="J26" s="30" t="str">
        <f aca="false">IF(Products!A20="","",Products!A20)</f>
        <v/>
      </c>
      <c r="K26" s="31" t="str">
        <f aca="false">IF($J26="","",SUMIFS(Income!$F$6:$F$305,Income!$B$6:$B$305,$J26,Income!$A$6:$A$305,"&gt;="&amp;DATE($C$4,1,1),Income!$A$6:$A$305,"&lt;"&amp;DATE($C$4+1,1,1)))</f>
        <v/>
      </c>
    </row>
    <row r="27" customFormat="false" ht="15" hidden="false" customHeight="false" outlineLevel="0" collapsed="false">
      <c r="J27" s="30" t="str">
        <f aca="false">IF(Products!A21="","",Products!A21)</f>
        <v/>
      </c>
      <c r="K27" s="31" t="str">
        <f aca="false">IF($J27="","",SUMIFS(Income!$F$6:$F$305,Income!$B$6:$B$305,$J27,Income!$A$6:$A$305,"&gt;="&amp;DATE($C$4,1,1),Income!$A$6:$A$305,"&lt;"&amp;DATE($C$4+1,1,1)))</f>
        <v/>
      </c>
    </row>
    <row r="28" customFormat="false" ht="15" hidden="false" customHeight="false" outlineLevel="0" collapsed="false">
      <c r="J28" s="30" t="str">
        <f aca="false">IF(Products!A22="","",Products!A22)</f>
        <v/>
      </c>
      <c r="K28" s="31" t="str">
        <f aca="false">IF($J28="","",SUMIFS(Income!$F$6:$F$305,Income!$B$6:$B$305,$J28,Income!$A$6:$A$305,"&gt;="&amp;DATE($C$4,1,1),Income!$A$6:$A$305,"&lt;"&amp;DATE($C$4+1,1,1)))</f>
        <v/>
      </c>
    </row>
    <row r="29" customFormat="false" ht="15" hidden="false" customHeight="false" outlineLevel="0" collapsed="false">
      <c r="J29" s="30" t="str">
        <f aca="false">IF(Products!A23="","",Products!A23)</f>
        <v/>
      </c>
      <c r="K29" s="31" t="str">
        <f aca="false">IF($J29="","",SUMIFS(Income!$F$6:$F$305,Income!$B$6:$B$305,$J29,Income!$A$6:$A$305,"&gt;="&amp;DATE($C$4,1,1),Income!$A$6:$A$305,"&lt;"&amp;DATE($C$4+1,1,1)))</f>
        <v/>
      </c>
    </row>
    <row r="30" customFormat="false" ht="15" hidden="false" customHeight="false" outlineLevel="0" collapsed="false">
      <c r="J30" s="30" t="str">
        <f aca="false">IF(Products!A24="","",Products!A24)</f>
        <v/>
      </c>
      <c r="K30" s="31" t="str">
        <f aca="false">IF($J30="","",SUMIFS(Income!$F$6:$F$305,Income!$B$6:$B$305,$J30,Income!$A$6:$A$305,"&gt;="&amp;DATE($C$4,1,1),Income!$A$6:$A$305,"&lt;"&amp;DATE($C$4+1,1,1)))</f>
        <v/>
      </c>
    </row>
    <row r="31" customFormat="false" ht="15" hidden="false" customHeight="false" outlineLevel="0" collapsed="false">
      <c r="J31" s="30" t="str">
        <f aca="false">IF(Products!A25="","",Products!A25)</f>
        <v/>
      </c>
      <c r="K31" s="31" t="str">
        <f aca="false">IF($J31="","",SUMIFS(Income!$F$6:$F$305,Income!$B$6:$B$305,$J31,Income!$A$6:$A$305,"&gt;="&amp;DATE($C$4,1,1),Income!$A$6:$A$305,"&lt;"&amp;DATE($C$4+1,1,1)))</f>
        <v/>
      </c>
    </row>
  </sheetData>
  <mergeCells count="10">
    <mergeCell ref="A1:K1"/>
    <mergeCell ref="A2:K2"/>
    <mergeCell ref="B6:C6"/>
    <mergeCell ref="D6:E6"/>
    <mergeCell ref="G6:H6"/>
    <mergeCell ref="J6:K6"/>
    <mergeCell ref="B7:C7"/>
    <mergeCell ref="D7:E7"/>
    <mergeCell ref="G7:H7"/>
    <mergeCell ref="J7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2026-08-11T21:21:39Z</dcterms:created>
  <dc:creator>openpyxl</dc:creator>
  <dc:description/>
  <dc:language>en-US</dc:language>
  <cp:lastModifiedBy/>
  <dcterms:modified xsi:type="dcterms:W3CDTF">2026-08-11T21:21:43Z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