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oice" sheetId="3" state="visible" r:id="rId5"/>
    <sheet name="Income Log" sheetId="4" state="visible" r:id="rId6"/>
    <sheet name="Dashboard" sheetId="5" state="visible" r:id="rId7"/>
  </sheets>
  <definedNames>
    <definedName function="false" hidden="false" localSheetId="2" name="_xlnm.Print_Area" vbProcedure="false">Invoice!$A$1:$D$35</definedName>
    <definedName function="false" hidden="false" name="ClientList" vbProcedure="false">Settings!$A$18:$A$37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<sst xmlns="http://schemas.openxmlformats.org/spreadsheetml/2006/main" count="113" uniqueCount="99">
  <si>
    <t xml:space="preserve">Freelance Invoice + Income Tracker</t>
  </si>
  <si>
    <t xml:space="preserve">Send professional invoices and always know who owes you what.</t>
  </si>
  <si>
    <t xml:space="preserve">Welcome!</t>
  </si>
  <si>
    <t xml:space="preserve">This workbook gives you a fill-in invoice you can print or save as PDF, an income log, and a dashboard that tracks invoiced, collected, and outstanding money automatically.</t>
  </si>
  <si>
    <t xml:space="preserve">1.  Set up the Settings tab</t>
  </si>
  <si>
    <t xml:space="preserve">Add your business details, tax rate, payment terms, and your client list. The invoice and dropdowns pull from here.</t>
  </si>
  <si>
    <t xml:space="preserve">2.  Create an invoice</t>
  </si>
  <si>
    <t xml:space="preserve">On the Invoice tab, pick a client from the dropdown, add line items, then print or export to PDF (File &gt; Save As &gt; PDF).</t>
  </si>
  <si>
    <t xml:space="preserve">3.  Log it on the Income Log</t>
  </si>
  <si>
    <t xml:space="preserve">One row per invoice. Update the Status column when you get paid — the dashboard reads this table.</t>
  </si>
  <si>
    <t xml:space="preserve">4.  Watch the Dashboard</t>
  </si>
  <si>
    <t xml:space="preserve">Totals, monthly income chart, and per-client revenue update automatically. Set the year at the top.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</si>
  <si>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</si>
  <si>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</si>
  <si>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</si>
  <si>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just delete them and add your own.</t>
  </si>
  <si>
    <t xml:space="preserve">Works in Microsoft Excel (2016 or newer) and Google Sheets (upload to Drive, then Open with Google Sheets).</t>
  </si>
  <si>
    <t xml:space="preserve">Settings</t>
  </si>
  <si>
    <t xml:space="preserve">Your business info, invoice defaults, and client list. Yellow cells are yours to edit.</t>
  </si>
  <si>
    <t xml:space="preserve">YOUR BUSINESS</t>
  </si>
  <si>
    <t xml:space="preserve">Business / your name</t>
  </si>
  <si>
    <t xml:space="preserve">Alex Rivera Design</t>
  </si>
  <si>
    <t xml:space="preserve">Email</t>
  </si>
  <si>
    <t xml:space="preserve">alex@riveradesign.com</t>
  </si>
  <si>
    <t xml:space="preserve">Phone</t>
  </si>
  <si>
    <t xml:space="preserve">(555) 010-2266</t>
  </si>
  <si>
    <t xml:space="preserve">Address</t>
  </si>
  <si>
    <t xml:space="preserve">410 Maple Ave, Portland, OR</t>
  </si>
  <si>
    <t xml:space="preserve">Payment instructions</t>
  </si>
  <si>
    <t xml:space="preserve">Pay by bank transfer to a/c 0000-1111 or PayPal alex@riveradesign.com</t>
  </si>
  <si>
    <t xml:space="preserve">INVOICE DEFAULTS</t>
  </si>
  <si>
    <t xml:space="preserve">Tax / VAT rate</t>
  </si>
  <si>
    <t xml:space="preserve">Set to 0% if you don't charge tax.</t>
  </si>
  <si>
    <t xml:space="preserve">Invoice number prefix</t>
  </si>
  <si>
    <t xml:space="preserve">INV-</t>
  </si>
  <si>
    <t xml:space="preserve">Payment terms (days)</t>
  </si>
  <si>
    <t xml:space="preserve">Due date = invoice date + this many days.</t>
  </si>
  <si>
    <t xml:space="preserve">CLIENT LIST</t>
  </si>
  <si>
    <t xml:space="preserve">Clients you add here appear in dropdowns on the Invoice and Income Log.</t>
  </si>
  <si>
    <t xml:space="preserve">Client</t>
  </si>
  <si>
    <t xml:space="preserve">Company / notes</t>
  </si>
  <si>
    <t xml:space="preserve">Acme Studios</t>
  </si>
  <si>
    <t xml:space="preserve">billing@acmestudios.com</t>
  </si>
  <si>
    <t xml:space="preserve">Acme Studios LLC</t>
  </si>
  <si>
    <t xml:space="preserve">Beacon Coffee Co.</t>
  </si>
  <si>
    <t xml:space="preserve">maya@beaconcoffee.com</t>
  </si>
  <si>
    <t xml:space="preserve">Ask for Maya</t>
  </si>
  <si>
    <t xml:space="preserve">INVOICE</t>
  </si>
  <si>
    <t xml:space="preserve">BILL TO</t>
  </si>
  <si>
    <t xml:space="preserve">Invoice #</t>
  </si>
  <si>
    <t xml:space="preserve">INV-003</t>
  </si>
  <si>
    <t xml:space="preserve">Invoice date</t>
  </si>
  <si>
    <t xml:space="preserve">Due date</t>
  </si>
  <si>
    <t xml:space="preserve">Description</t>
  </si>
  <si>
    <t xml:space="preserve">Qty</t>
  </si>
  <si>
    <t xml:space="preserve">Rate</t>
  </si>
  <si>
    <t xml:space="preserve">Amount</t>
  </si>
  <si>
    <t xml:space="preserve">Monthly retainer — March</t>
  </si>
  <si>
    <t xml:space="preserve">Landing page copy revisions</t>
  </si>
  <si>
    <t xml:space="preserve">Subtotal</t>
  </si>
  <si>
    <t xml:space="preserve">Total due</t>
  </si>
  <si>
    <t xml:space="preserve">PAYMENT</t>
  </si>
  <si>
    <t xml:space="preserve">Thank you for your business!</t>
  </si>
  <si>
    <t xml:space="preserve">Income Log</t>
  </si>
  <si>
    <t xml:space="preserve">One row per invoice you send. The Dashboard reads this table automatically.</t>
  </si>
  <si>
    <t xml:space="preserve">Every cell in this table is yours to type in. Pick Client and Status from the dropdowns.</t>
  </si>
  <si>
    <t xml:space="preserve">Date</t>
  </si>
  <si>
    <t xml:space="preserve">Status</t>
  </si>
  <si>
    <t xml:space="preserve">Date paid</t>
  </si>
  <si>
    <t xml:space="preserve">INV-001</t>
  </si>
  <si>
    <t xml:space="preserve">Website design project</t>
  </si>
  <si>
    <t xml:space="preserve">Paid</t>
  </si>
  <si>
    <t xml:space="preserve">INV-002</t>
  </si>
  <si>
    <t xml:space="preserve">Brand refresh</t>
  </si>
  <si>
    <t xml:space="preserve">Sent</t>
  </si>
  <si>
    <t xml:space="preserve">Dashboard</t>
  </si>
  <si>
    <t xml:space="preserve">Your money at a glance. Everything here updates automatically from the Income Log.</t>
  </si>
  <si>
    <t xml:space="preserve">Year</t>
  </si>
  <si>
    <t xml:space="preserve">TOTAL INVOICED</t>
  </si>
  <si>
    <t xml:space="preserve">COLLECTED</t>
  </si>
  <si>
    <t xml:space="preserve">OUTSTANDING</t>
  </si>
  <si>
    <t xml:space="preserve">INVOICES SENT</t>
  </si>
  <si>
    <t xml:space="preserve">Invoiced by month</t>
  </si>
  <si>
    <t xml:space="preserve">Revenue by client</t>
  </si>
  <si>
    <t xml:space="preserve">#</t>
  </si>
  <si>
    <t xml:space="preserve">Month</t>
  </si>
  <si>
    <t xml:space="preserve">Invoiced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</si>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</sst>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mm/dd/yyyy"/>
    <numFmt numFmtId="167" formatCode="\$#,##0.00"/>
    <numFmt numFmtId="168" formatCode="\$#,##0"/>
    <numFmt numFmtId="169" formatCode="0"/>
    <numFmt numFmtId="170" formatCode="\$#,##0;&quot;($&quot;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6B728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3"/>
      <color rgb="FF2E9E8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4"/>
      <color rgb="FF2E9E8F"/>
      <name val="Arial"/>
      <family val="0"/>
      <charset val="1"/>
    </font>
    <font>
      <b val="true"/>
      <sz val="16"/>
      <color rgb="FF1F3A5F"/>
      <name val="Arial"/>
      <family val="0"/>
      <charset val="1"/>
    </font>
    <font>
      <b val="true"/>
      <sz val="16"/>
      <color rgb="FF2E9E8F"/>
      <name val="Arial"/>
      <family val="0"/>
      <charset val="1"/>
    </font>
    <font>
      <b val="true"/>
      <sz val="16"/>
      <color rgb="FFB3352C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1F2937"/>
      </patternFill>
    </fill>
    <fill>
      <patternFill patternType="solid">
        <fgColor rgb="FFFFF6DE"/>
        <bgColor rgb="FFFFF1D6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thin">
        <color rgb="FFD8DEE9"/>
      </top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20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2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B7A46"/>
        <sz val="10"/>
      </font>
      <fill>
        <patternFill>
          <bgColor rgb="FFDCF3E4"/>
        </patternFill>
      </fill>
    </dxf>
    <dxf>
      <font>
        <name val="Arial"/>
        <charset val="1"/>
        <family val="0"/>
        <b val="1"/>
        <color rgb="FF92600A"/>
        <sz val="10"/>
      </font>
      <fill>
        <patternFill>
          <bgColor rgb="FFFFF1D6"/>
        </patternFill>
      </fill>
    </dxf>
    <dxf>
      <font>
        <name val="Arial"/>
        <charset val="1"/>
        <family val="0"/>
        <b val="1"/>
        <color rgb="FFB3352C"/>
        <sz val="10"/>
      </font>
      <fill>
        <patternFill>
          <bgColor rgb="FFFBE3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2600A"/>
      <rgbColor rgb="FF800080"/>
      <rgbColor rgb="FF1B7A46"/>
      <rgbColor rgb="FFD9D9D9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DCF3E4"/>
      <rgbColor rgb="FFFFF1D6"/>
      <rgbColor rgb="FFE5E7EB"/>
      <rgbColor rgb="FFF9FAF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A5F"/>
      <rgbColor rgb="FF2E9E8F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Invoiced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Invoiced</c:v>
                </c:pt>
              </c:strCache>
            </c:strRef>
          </c:tx>
          <c:spPr>
            <a:solidFill>
              <a:srgbClr val="2e9e8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1520</c:v>
                </c:pt>
                <c:pt idx="1">
                  <c:v>850</c:v>
                </c:pt>
                <c:pt idx="2">
                  <c:v>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5708349"/>
        <c:axId val="34290226"/>
      </c:barChart>
      <c:catAx>
        <c:axId val="257083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290226"/>
        <c:crosses val="autoZero"/>
        <c:auto val="1"/>
        <c:lblAlgn val="ctr"/>
        <c:lblOffset val="100"/>
        <c:noMultiLvlLbl val="0"/>
      </c:catAx>
      <c:valAx>
        <c:axId val="34290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083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25</xdr:row>
      <xdr:rowOff>0</xdr:rowOff>
    </xdr:from>
    <xdr:to>
      <xdr:col>9</xdr:col>
      <xdr:colOff>65520</xdr:colOff>
      <xdr:row>40</xdr:row>
      <xdr:rowOff>93960</xdr:rowOff>
    </xdr:to>
    <xdr:graphicFrame>
      <xdr:nvGraphicFramePr>
        <xdr:cNvPr id="0" name="Chart 1"/>
        <xdr:cNvGraphicFramePr/>
      </xdr:nvGraphicFramePr>
      <xdr:xfrm>
        <a:off x="3378240" y="5133960"/>
        <a:ext cx="539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E8F"/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15" hidden="false" customHeight="false" outlineLevel="0" collapsed="false">
      <c r="B21" s="6"/>
      <c r="C21" s="7" t="s">
        <v>13</v>
      </c>
    </row>
    <row r="22" customFormat="false" ht="15" hidden="false" customHeight="false" outlineLevel="0" collapsed="false">
      <c r="B22" s="8"/>
      <c r="C22" s="7" t="s">
        <v>14</v>
      </c>
    </row>
    <row r="24" customFormat="false" ht="15" hidden="false" customHeight="false" outlineLevel="0" collapsed="false">
      <c r="B24" s="9" t="s">
        <v>15</v>
      </c>
    </row>
    <row r="25" customFormat="false" ht="15" hidden="false" customHeight="false" outlineLevel="0" collapsed="false">
      <c r="B25" s="9" t="s">
        <v>16</v>
      </c>
    </row>
  </sheetData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4"/>
    <col collapsed="false" customWidth="true" hidden="false" outlineLevel="0" max="8" min="6" style="0" width="14"/>
  </cols>
  <sheetData>
    <row r="1" customFormat="false" ht="25.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18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0" t="s">
        <v>19</v>
      </c>
    </row>
    <row r="5" customFormat="false" ht="15" hidden="false" customHeight="false" outlineLevel="0" collapsed="false">
      <c r="A5" s="7" t="s">
        <v>20</v>
      </c>
      <c r="B5" s="11" t="s">
        <v>21</v>
      </c>
    </row>
    <row r="6" customFormat="false" ht="15" hidden="false" customHeight="false" outlineLevel="0" collapsed="false">
      <c r="A6" s="7" t="s">
        <v>22</v>
      </c>
      <c r="B6" s="11" t="s">
        <v>23</v>
      </c>
    </row>
    <row r="7" customFormat="false" ht="15" hidden="false" customHeight="false" outlineLevel="0" collapsed="false">
      <c r="A7" s="7" t="s">
        <v>24</v>
      </c>
      <c r="B7" s="11" t="s">
        <v>25</v>
      </c>
    </row>
    <row r="8" customFormat="false" ht="15" hidden="false" customHeight="false" outlineLevel="0" collapsed="false">
      <c r="A8" s="7" t="s">
        <v>26</v>
      </c>
      <c r="B8" s="11" t="s">
        <v>27</v>
      </c>
    </row>
    <row r="9" customFormat="false" ht="23.85" hidden="false" customHeight="false" outlineLevel="0" collapsed="false">
      <c r="A9" s="7" t="s">
        <v>28</v>
      </c>
      <c r="B9" s="12" t="s">
        <v>29</v>
      </c>
    </row>
    <row r="11" customFormat="false" ht="15" hidden="false" customHeight="false" outlineLevel="0" collapsed="false">
      <c r="A11" s="10" t="s">
        <v>30</v>
      </c>
    </row>
    <row r="12" customFormat="false" ht="15" hidden="false" customHeight="false" outlineLevel="0" collapsed="false">
      <c r="A12" s="7" t="s">
        <v>31</v>
      </c>
      <c r="B12" s="13" t="n">
        <v>0.085</v>
      </c>
      <c r="C12" s="14" t="s">
        <v>32</v>
      </c>
    </row>
    <row r="13" customFormat="false" ht="15" hidden="false" customHeight="false" outlineLevel="0" collapsed="false">
      <c r="A13" s="7" t="s">
        <v>33</v>
      </c>
      <c r="B13" s="11" t="s">
        <v>34</v>
      </c>
    </row>
    <row r="14" customFormat="false" ht="15" hidden="false" customHeight="false" outlineLevel="0" collapsed="false">
      <c r="A14" s="7" t="s">
        <v>35</v>
      </c>
      <c r="B14" s="11" t="n">
        <v>14</v>
      </c>
      <c r="C14" s="14" t="s">
        <v>36</v>
      </c>
    </row>
    <row r="16" customFormat="false" ht="15" hidden="false" customHeight="false" outlineLevel="0" collapsed="false">
      <c r="A16" s="10" t="s">
        <v>37</v>
      </c>
      <c r="D16" s="14" t="s">
        <v>38</v>
      </c>
    </row>
    <row r="17" customFormat="false" ht="19.5" hidden="false" customHeight="true" outlineLevel="0" collapsed="false">
      <c r="A17" s="15" t="s">
        <v>39</v>
      </c>
      <c r="B17" s="15" t="s">
        <v>22</v>
      </c>
      <c r="C17" s="15" t="s">
        <v>40</v>
      </c>
    </row>
    <row r="18" customFormat="false" ht="15" hidden="false" customHeight="false" outlineLevel="0" collapsed="false">
      <c r="A18" s="11" t="s">
        <v>41</v>
      </c>
      <c r="B18" s="11" t="s">
        <v>42</v>
      </c>
      <c r="C18" s="11" t="s">
        <v>43</v>
      </c>
    </row>
    <row r="19" customFormat="false" ht="15" hidden="false" customHeight="false" outlineLevel="0" collapsed="false">
      <c r="A19" s="11" t="s">
        <v>44</v>
      </c>
      <c r="B19" s="11" t="s">
        <v>45</v>
      </c>
      <c r="C19" s="11" t="s">
        <v>46</v>
      </c>
    </row>
    <row r="20" customFormat="false" ht="15" hidden="false" customHeight="false" outlineLevel="0" collapsed="false">
      <c r="A20" s="11"/>
      <c r="B20" s="11"/>
      <c r="C20" s="11"/>
    </row>
    <row r="21" customFormat="false" ht="15" hidden="false" customHeight="false" outlineLevel="0" collapsed="false">
      <c r="A21" s="11"/>
      <c r="B21" s="11"/>
      <c r="C21" s="11"/>
    </row>
    <row r="22" customFormat="false" ht="15" hidden="false" customHeight="false" outlineLevel="0" collapsed="false">
      <c r="A22" s="11"/>
      <c r="B22" s="11"/>
      <c r="C22" s="11"/>
    </row>
    <row r="23" customFormat="false" ht="15" hidden="false" customHeight="false" outlineLevel="0" collapsed="false">
      <c r="A23" s="11"/>
      <c r="B23" s="11"/>
      <c r="C23" s="11"/>
    </row>
    <row r="24" customFormat="false" ht="15" hidden="false" customHeight="false" outlineLevel="0" collapsed="false">
      <c r="A24" s="11"/>
      <c r="B24" s="11"/>
      <c r="C24" s="11"/>
    </row>
    <row r="25" customFormat="false" ht="15" hidden="false" customHeight="false" outlineLevel="0" collapsed="false">
      <c r="A25" s="11"/>
      <c r="B25" s="11"/>
      <c r="C25" s="11"/>
    </row>
    <row r="26" customFormat="false" ht="15" hidden="false" customHeight="false" outlineLevel="0" collapsed="false">
      <c r="A26" s="11"/>
      <c r="B26" s="11"/>
      <c r="C26" s="11"/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  <row r="36" customFormat="false" ht="15" hidden="false" customHeight="false" outlineLevel="0" collapsed="false">
      <c r="A36" s="11"/>
      <c r="B36" s="11"/>
      <c r="C36" s="11"/>
    </row>
    <row r="37" customFormat="false" ht="15" hidden="false" customHeight="false" outlineLevel="0" collapsed="false">
      <c r="A37" s="11"/>
      <c r="B37" s="11"/>
      <c r="C37" s="11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6"/>
  </cols>
  <sheetData>
    <row r="1" customFormat="false" ht="30" hidden="false" customHeight="true" outlineLevel="0" collapsed="false">
      <c r="A1" s="16" t="str">
        <f aca="false">IF(Settings!B5="","Your Business Name",Settings!B5)</f>
        <v>Alex Rivera Design</v>
      </c>
      <c r="B1" s="16"/>
      <c r="C1" s="16"/>
      <c r="D1" s="16"/>
    </row>
    <row r="2" customFormat="false" ht="15" hidden="false" customHeight="false" outlineLevel="0" collapsed="false">
      <c r="A2" s="17" t="str">
        <f aca="false">IF(Settings!B6="","",Settings!B6&amp;"   ·   "&amp;Settings!B7)</f>
        <v>alex@riveradesign.com   ·   (555) 010-2266</v>
      </c>
      <c r="B2" s="17"/>
      <c r="C2" s="17"/>
      <c r="D2" s="17"/>
    </row>
    <row r="3" customFormat="false" ht="15" hidden="false" customHeight="false" outlineLevel="0" collapsed="false">
      <c r="A3" s="17" t="str">
        <f aca="false">IF(Settings!B8="","",Settings!B8)</f>
        <v>410 Maple Ave, Portland, OR</v>
      </c>
      <c r="B3" s="17"/>
      <c r="C3" s="17"/>
      <c r="D3" s="17"/>
    </row>
    <row r="5" customFormat="false" ht="21.75" hidden="false" customHeight="true" outlineLevel="0" collapsed="false">
      <c r="A5" s="18" t="s">
        <v>47</v>
      </c>
      <c r="B5" s="18"/>
      <c r="C5" s="18"/>
      <c r="D5" s="18"/>
    </row>
    <row r="7" customFormat="false" ht="15" hidden="false" customHeight="false" outlineLevel="0" collapsed="false">
      <c r="A7" s="10" t="s">
        <v>48</v>
      </c>
      <c r="C7" s="10" t="s">
        <v>49</v>
      </c>
      <c r="D7" s="11" t="s">
        <v>50</v>
      </c>
    </row>
    <row r="8" customFormat="false" ht="15" hidden="false" customHeight="false" outlineLevel="0" collapsed="false">
      <c r="A8" s="19" t="s">
        <v>41</v>
      </c>
      <c r="C8" s="10" t="s">
        <v>51</v>
      </c>
      <c r="D8" s="20" t="n">
        <v>46083</v>
      </c>
    </row>
    <row r="9" customFormat="false" ht="15" hidden="false" customHeight="false" outlineLevel="0" collapsed="false">
      <c r="A9" s="21" t="str">
        <f aca="false">IFERROR(INDEX(Settings!$B$18:$B$37,MATCH($A$8,Settings!$A$18:$A$37,0)),"")</f>
        <v>billing@acmestudios.com</v>
      </c>
      <c r="C9" s="10" t="s">
        <v>52</v>
      </c>
      <c r="D9" s="22" t="n">
        <f aca="false">IF($D$8="","",$D$8+Settings!$B$14)</f>
        <v>46097</v>
      </c>
    </row>
    <row r="10" customFormat="false" ht="15" hidden="false" customHeight="false" outlineLevel="0" collapsed="false">
      <c r="A10" s="21" t="str">
        <f aca="false">IFERROR(INDEX(Settings!$C$18:$C$37,MATCH($A$8,Settings!$A$18:$A$37,0)),"")</f>
        <v>Acme Studios LLC</v>
      </c>
    </row>
    <row r="12" customFormat="false" ht="19.5" hidden="false" customHeight="true" outlineLevel="0" collapsed="false">
      <c r="A12" s="15" t="s">
        <v>53</v>
      </c>
      <c r="B12" s="15" t="s">
        <v>54</v>
      </c>
      <c r="C12" s="15" t="s">
        <v>55</v>
      </c>
      <c r="D12" s="15" t="s">
        <v>56</v>
      </c>
    </row>
    <row r="13" customFormat="false" ht="15" hidden="false" customHeight="false" outlineLevel="0" collapsed="false">
      <c r="A13" s="11" t="s">
        <v>57</v>
      </c>
      <c r="B13" s="11" t="n">
        <v>1</v>
      </c>
      <c r="C13" s="23" t="n">
        <v>600</v>
      </c>
      <c r="D13" s="24" t="n">
        <f aca="false">IF(OR($B13="",$C13=""),"",ROUND($B13*$C13,2))</f>
        <v>600</v>
      </c>
    </row>
    <row r="14" customFormat="false" ht="15" hidden="false" customHeight="false" outlineLevel="0" collapsed="false">
      <c r="A14" s="11" t="s">
        <v>58</v>
      </c>
      <c r="B14" s="11" t="n">
        <v>2</v>
      </c>
      <c r="C14" s="23" t="n">
        <v>80</v>
      </c>
      <c r="D14" s="24" t="n">
        <f aca="false">IF(OR($B14="",$C14=""),"",ROUND($B14*$C14,2))</f>
        <v>160</v>
      </c>
    </row>
    <row r="15" customFormat="false" ht="15" hidden="false" customHeight="false" outlineLevel="0" collapsed="false">
      <c r="A15" s="11"/>
      <c r="B15" s="11"/>
      <c r="C15" s="23"/>
      <c r="D15" s="24" t="str">
        <f aca="false">IF(OR($B15="",$C15=""),"",ROUND($B15*$C15,2))</f>
        <v/>
      </c>
    </row>
    <row r="16" customFormat="false" ht="15" hidden="false" customHeight="false" outlineLevel="0" collapsed="false">
      <c r="A16" s="11"/>
      <c r="B16" s="11"/>
      <c r="C16" s="23"/>
      <c r="D16" s="24" t="str">
        <f aca="false">IF(OR($B16="",$C16=""),"",ROUND($B16*$C16,2))</f>
        <v/>
      </c>
    </row>
    <row r="17" customFormat="false" ht="15" hidden="false" customHeight="false" outlineLevel="0" collapsed="false">
      <c r="A17" s="11"/>
      <c r="B17" s="11"/>
      <c r="C17" s="23"/>
      <c r="D17" s="24" t="str">
        <f aca="false">IF(OR($B17="",$C17=""),"",ROUND($B17*$C17,2))</f>
        <v/>
      </c>
    </row>
    <row r="18" customFormat="false" ht="15" hidden="false" customHeight="false" outlineLevel="0" collapsed="false">
      <c r="A18" s="11"/>
      <c r="B18" s="11"/>
      <c r="C18" s="23"/>
      <c r="D18" s="24" t="str">
        <f aca="false">IF(OR($B18="",$C18=""),"",ROUND($B18*$C18,2))</f>
        <v/>
      </c>
    </row>
    <row r="19" customFormat="false" ht="15" hidden="false" customHeight="false" outlineLevel="0" collapsed="false">
      <c r="A19" s="11"/>
      <c r="B19" s="11"/>
      <c r="C19" s="23"/>
      <c r="D19" s="24" t="str">
        <f aca="false">IF(OR($B19="",$C19=""),"",ROUND($B19*$C19,2))</f>
        <v/>
      </c>
    </row>
    <row r="20" customFormat="false" ht="15" hidden="false" customHeight="false" outlineLevel="0" collapsed="false">
      <c r="A20" s="11"/>
      <c r="B20" s="11"/>
      <c r="C20" s="23"/>
      <c r="D20" s="24" t="str">
        <f aca="false">IF(OR($B20="",$C20=""),"",ROUND($B20*$C20,2))</f>
        <v/>
      </c>
    </row>
    <row r="21" customFormat="false" ht="15" hidden="false" customHeight="false" outlineLevel="0" collapsed="false">
      <c r="A21" s="11"/>
      <c r="B21" s="11"/>
      <c r="C21" s="23"/>
      <c r="D21" s="24" t="str">
        <f aca="false">IF(OR($B21="",$C21=""),"",ROUND($B21*$C21,2))</f>
        <v/>
      </c>
    </row>
    <row r="22" customFormat="false" ht="15" hidden="false" customHeight="false" outlineLevel="0" collapsed="false">
      <c r="A22" s="11"/>
      <c r="B22" s="11"/>
      <c r="C22" s="23"/>
      <c r="D22" s="24" t="str">
        <f aca="false">IF(OR($B22="",$C22=""),"",ROUND($B22*$C22,2))</f>
        <v/>
      </c>
    </row>
    <row r="23" customFormat="false" ht="15" hidden="false" customHeight="false" outlineLevel="0" collapsed="false">
      <c r="A23" s="11"/>
      <c r="B23" s="11"/>
      <c r="C23" s="23"/>
      <c r="D23" s="24" t="str">
        <f aca="false">IF(OR($B23="",$C23=""),"",ROUND($B23*$C23,2))</f>
        <v/>
      </c>
    </row>
    <row r="24" customFormat="false" ht="15" hidden="false" customHeight="false" outlineLevel="0" collapsed="false">
      <c r="A24" s="11"/>
      <c r="B24" s="11"/>
      <c r="C24" s="23"/>
      <c r="D24" s="24" t="str">
        <f aca="false">IF(OR($B24="",$C24=""),"",ROUND($B24*$C24,2))</f>
        <v/>
      </c>
    </row>
    <row r="26" customFormat="false" ht="15" hidden="false" customHeight="false" outlineLevel="0" collapsed="false">
      <c r="C26" s="25" t="s">
        <v>59</v>
      </c>
      <c r="D26" s="26" t="n">
        <f aca="false">SUM(D13:D24)</f>
        <v>760</v>
      </c>
    </row>
    <row r="27" customFormat="false" ht="15" hidden="false" customHeight="false" outlineLevel="0" collapsed="false">
      <c r="C27" s="7" t="str">
        <f aca="false">"Tax ("&amp;TEXT(Settings!$B$12,"0.0%")&amp;")"</f>
        <v>Tax (8.5%)</v>
      </c>
      <c r="D27" s="27" t="n">
        <f aca="false">ROUND(D26*Settings!$B$12,2)</f>
        <v>64.6</v>
      </c>
    </row>
    <row r="28" customFormat="false" ht="17.35" hidden="false" customHeight="false" outlineLevel="0" collapsed="false">
      <c r="C28" s="28" t="s">
        <v>60</v>
      </c>
      <c r="D28" s="29" t="n">
        <f aca="false">D26+D27</f>
        <v>824.6</v>
      </c>
    </row>
    <row r="31" customFormat="false" ht="15" hidden="false" customHeight="false" outlineLevel="0" collapsed="false">
      <c r="A31" s="10" t="s">
        <v>61</v>
      </c>
    </row>
    <row r="32" customFormat="false" ht="15" hidden="false" customHeight="false" outlineLevel="0" collapsed="false">
      <c r="A32" s="30" t="str">
        <f aca="false">IF(Settings!B9="","",Settings!B9)</f>
        <v>Pay by bank transfer to a/c 0000-1111 or PayPal alex@riveradesign.com</v>
      </c>
      <c r="B32" s="30"/>
      <c r="C32" s="30"/>
      <c r="D32" s="30"/>
    </row>
    <row r="34" customFormat="false" ht="15" hidden="false" customHeight="false" outlineLevel="0" collapsed="false">
      <c r="A34" s="31" t="s">
        <v>62</v>
      </c>
      <c r="B34" s="31"/>
      <c r="C34" s="31"/>
      <c r="D34" s="31"/>
    </row>
  </sheetData>
  <mergeCells count="6">
    <mergeCell ref="A1:D1"/>
    <mergeCell ref="A2:D2"/>
    <mergeCell ref="A3:D3"/>
    <mergeCell ref="A5:D5"/>
    <mergeCell ref="A32:D32"/>
    <mergeCell ref="A34:D34"/>
  </mergeCells>
  <dataValidations count="1">
    <dataValidation allowBlank="true" errorStyle="stop" operator="between" showDropDown="false" showErrorMessage="false" showInputMessage="false" sqref="A8" type="list">
      <formula1>ClientList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64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4" t="s">
        <v>65</v>
      </c>
    </row>
    <row r="5" customFormat="false" ht="19.5" hidden="false" customHeight="true" outlineLevel="0" collapsed="false">
      <c r="A5" s="15" t="s">
        <v>66</v>
      </c>
      <c r="B5" s="15" t="s">
        <v>39</v>
      </c>
      <c r="C5" s="15" t="s">
        <v>49</v>
      </c>
      <c r="D5" s="15" t="s">
        <v>53</v>
      </c>
      <c r="E5" s="15" t="s">
        <v>56</v>
      </c>
      <c r="F5" s="15" t="s">
        <v>67</v>
      </c>
      <c r="G5" s="15" t="s">
        <v>68</v>
      </c>
    </row>
    <row r="6" customFormat="false" ht="15" hidden="false" customHeight="false" outlineLevel="0" collapsed="false">
      <c r="A6" s="32" t="n">
        <v>46034</v>
      </c>
      <c r="B6" s="33" t="s">
        <v>41</v>
      </c>
      <c r="C6" s="33" t="s">
        <v>69</v>
      </c>
      <c r="D6" s="33" t="s">
        <v>70</v>
      </c>
      <c r="E6" s="34" t="n">
        <v>1520</v>
      </c>
      <c r="F6" s="33" t="s">
        <v>71</v>
      </c>
      <c r="G6" s="32" t="n">
        <v>46042</v>
      </c>
    </row>
    <row r="7" customFormat="false" ht="15" hidden="false" customHeight="false" outlineLevel="0" collapsed="false">
      <c r="A7" s="35" t="n">
        <v>46056</v>
      </c>
      <c r="B7" s="36" t="s">
        <v>44</v>
      </c>
      <c r="C7" s="36" t="s">
        <v>72</v>
      </c>
      <c r="D7" s="36" t="s">
        <v>73</v>
      </c>
      <c r="E7" s="37" t="n">
        <v>850</v>
      </c>
      <c r="F7" s="36" t="s">
        <v>71</v>
      </c>
      <c r="G7" s="35" t="n">
        <v>46068</v>
      </c>
    </row>
    <row r="8" customFormat="false" ht="15" hidden="false" customHeight="false" outlineLevel="0" collapsed="false">
      <c r="A8" s="32" t="n">
        <v>46083</v>
      </c>
      <c r="B8" s="33" t="s">
        <v>41</v>
      </c>
      <c r="C8" s="33" t="s">
        <v>50</v>
      </c>
      <c r="D8" s="33" t="s">
        <v>57</v>
      </c>
      <c r="E8" s="34" t="n">
        <v>600</v>
      </c>
      <c r="F8" s="33" t="s">
        <v>74</v>
      </c>
      <c r="G8" s="32"/>
    </row>
    <row r="9" customFormat="false" ht="15" hidden="false" customHeight="false" outlineLevel="0" collapsed="false">
      <c r="A9" s="35"/>
      <c r="B9" s="36"/>
      <c r="C9" s="36"/>
      <c r="D9" s="36"/>
      <c r="E9" s="37"/>
      <c r="F9" s="36"/>
      <c r="G9" s="35"/>
    </row>
    <row r="10" customFormat="false" ht="15" hidden="false" customHeight="false" outlineLevel="0" collapsed="false">
      <c r="A10" s="32"/>
      <c r="B10" s="33"/>
      <c r="C10" s="33"/>
      <c r="D10" s="33"/>
      <c r="E10" s="34"/>
      <c r="F10" s="33"/>
      <c r="G10" s="32"/>
    </row>
    <row r="11" customFormat="false" ht="15" hidden="false" customHeight="false" outlineLevel="0" collapsed="false">
      <c r="A11" s="35"/>
      <c r="B11" s="36"/>
      <c r="C11" s="36"/>
      <c r="D11" s="36"/>
      <c r="E11" s="37"/>
      <c r="F11" s="36"/>
      <c r="G11" s="35"/>
    </row>
    <row r="12" customFormat="false" ht="15" hidden="false" customHeight="false" outlineLevel="0" collapsed="false">
      <c r="A12" s="32"/>
      <c r="B12" s="33"/>
      <c r="C12" s="33"/>
      <c r="D12" s="33"/>
      <c r="E12" s="34"/>
      <c r="F12" s="33"/>
      <c r="G12" s="32"/>
    </row>
    <row r="13" customFormat="false" ht="15" hidden="false" customHeight="false" outlineLevel="0" collapsed="false">
      <c r="A13" s="35"/>
      <c r="B13" s="36"/>
      <c r="C13" s="36"/>
      <c r="D13" s="36"/>
      <c r="E13" s="37"/>
      <c r="F13" s="36"/>
      <c r="G13" s="35"/>
    </row>
    <row r="14" customFormat="false" ht="15" hidden="false" customHeight="false" outlineLevel="0" collapsed="false">
      <c r="A14" s="32"/>
      <c r="B14" s="33"/>
      <c r="C14" s="33"/>
      <c r="D14" s="33"/>
      <c r="E14" s="34"/>
      <c r="F14" s="33"/>
      <c r="G14" s="32"/>
    </row>
    <row r="15" customFormat="false" ht="15" hidden="false" customHeight="false" outlineLevel="0" collapsed="false">
      <c r="A15" s="35"/>
      <c r="B15" s="36"/>
      <c r="C15" s="36"/>
      <c r="D15" s="36"/>
      <c r="E15" s="37"/>
      <c r="F15" s="36"/>
      <c r="G15" s="35"/>
    </row>
    <row r="16" customFormat="false" ht="15" hidden="false" customHeight="false" outlineLevel="0" collapsed="false">
      <c r="A16" s="32"/>
      <c r="B16" s="33"/>
      <c r="C16" s="33"/>
      <c r="D16" s="33"/>
      <c r="E16" s="34"/>
      <c r="F16" s="33"/>
      <c r="G16" s="32"/>
    </row>
    <row r="17" customFormat="false" ht="15" hidden="false" customHeight="false" outlineLevel="0" collapsed="false">
      <c r="A17" s="35"/>
      <c r="B17" s="36"/>
      <c r="C17" s="36"/>
      <c r="D17" s="36"/>
      <c r="E17" s="37"/>
      <c r="F17" s="36"/>
      <c r="G17" s="35"/>
    </row>
    <row r="18" customFormat="false" ht="15" hidden="false" customHeight="false" outlineLevel="0" collapsed="false">
      <c r="A18" s="32"/>
      <c r="B18" s="33"/>
      <c r="C18" s="33"/>
      <c r="D18" s="33"/>
      <c r="E18" s="34"/>
      <c r="F18" s="33"/>
      <c r="G18" s="32"/>
    </row>
    <row r="19" customFormat="false" ht="15" hidden="false" customHeight="false" outlineLevel="0" collapsed="false">
      <c r="A19" s="35"/>
      <c r="B19" s="36"/>
      <c r="C19" s="36"/>
      <c r="D19" s="36"/>
      <c r="E19" s="37"/>
      <c r="F19" s="36"/>
      <c r="G19" s="35"/>
    </row>
    <row r="20" customFormat="false" ht="15" hidden="false" customHeight="false" outlineLevel="0" collapsed="false">
      <c r="A20" s="32"/>
      <c r="B20" s="33"/>
      <c r="C20" s="33"/>
      <c r="D20" s="33"/>
      <c r="E20" s="34"/>
      <c r="F20" s="33"/>
      <c r="G20" s="32"/>
    </row>
    <row r="21" customFormat="false" ht="15" hidden="false" customHeight="false" outlineLevel="0" collapsed="false">
      <c r="A21" s="35"/>
      <c r="B21" s="36"/>
      <c r="C21" s="36"/>
      <c r="D21" s="36"/>
      <c r="E21" s="37"/>
      <c r="F21" s="36"/>
      <c r="G21" s="35"/>
    </row>
    <row r="22" customFormat="false" ht="15" hidden="false" customHeight="false" outlineLevel="0" collapsed="false">
      <c r="A22" s="32"/>
      <c r="B22" s="33"/>
      <c r="C22" s="33"/>
      <c r="D22" s="33"/>
      <c r="E22" s="34"/>
      <c r="F22" s="33"/>
      <c r="G22" s="32"/>
    </row>
    <row r="23" customFormat="false" ht="15" hidden="false" customHeight="false" outlineLevel="0" collapsed="false">
      <c r="A23" s="35"/>
      <c r="B23" s="36"/>
      <c r="C23" s="36"/>
      <c r="D23" s="36"/>
      <c r="E23" s="37"/>
      <c r="F23" s="36"/>
      <c r="G23" s="35"/>
    </row>
    <row r="24" customFormat="false" ht="15" hidden="false" customHeight="false" outlineLevel="0" collapsed="false">
      <c r="A24" s="32"/>
      <c r="B24" s="33"/>
      <c r="C24" s="33"/>
      <c r="D24" s="33"/>
      <c r="E24" s="34"/>
      <c r="F24" s="33"/>
      <c r="G24" s="32"/>
    </row>
    <row r="25" customFormat="false" ht="15" hidden="false" customHeight="false" outlineLevel="0" collapsed="false">
      <c r="A25" s="35"/>
      <c r="B25" s="36"/>
      <c r="C25" s="36"/>
      <c r="D25" s="36"/>
      <c r="E25" s="37"/>
      <c r="F25" s="36"/>
      <c r="G25" s="35"/>
    </row>
    <row r="26" customFormat="false" ht="15" hidden="false" customHeight="false" outlineLevel="0" collapsed="false">
      <c r="A26" s="32"/>
      <c r="B26" s="33"/>
      <c r="C26" s="33"/>
      <c r="D26" s="33"/>
      <c r="E26" s="34"/>
      <c r="F26" s="33"/>
      <c r="G26" s="32"/>
    </row>
    <row r="27" customFormat="false" ht="15" hidden="false" customHeight="false" outlineLevel="0" collapsed="false">
      <c r="A27" s="35"/>
      <c r="B27" s="36"/>
      <c r="C27" s="36"/>
      <c r="D27" s="36"/>
      <c r="E27" s="37"/>
      <c r="F27" s="36"/>
      <c r="G27" s="35"/>
    </row>
    <row r="28" customFormat="false" ht="15" hidden="false" customHeight="false" outlineLevel="0" collapsed="false">
      <c r="A28" s="32"/>
      <c r="B28" s="33"/>
      <c r="C28" s="33"/>
      <c r="D28" s="33"/>
      <c r="E28" s="34"/>
      <c r="F28" s="33"/>
      <c r="G28" s="32"/>
    </row>
    <row r="29" customFormat="false" ht="15" hidden="false" customHeight="false" outlineLevel="0" collapsed="false">
      <c r="A29" s="35"/>
      <c r="B29" s="36"/>
      <c r="C29" s="36"/>
      <c r="D29" s="36"/>
      <c r="E29" s="37"/>
      <c r="F29" s="36"/>
      <c r="G29" s="35"/>
    </row>
    <row r="30" customFormat="false" ht="15" hidden="false" customHeight="false" outlineLevel="0" collapsed="false">
      <c r="A30" s="32"/>
      <c r="B30" s="33"/>
      <c r="C30" s="33"/>
      <c r="D30" s="33"/>
      <c r="E30" s="34"/>
      <c r="F30" s="33"/>
      <c r="G30" s="32"/>
    </row>
    <row r="31" customFormat="false" ht="15" hidden="false" customHeight="false" outlineLevel="0" collapsed="false">
      <c r="A31" s="35"/>
      <c r="B31" s="36"/>
      <c r="C31" s="36"/>
      <c r="D31" s="36"/>
      <c r="E31" s="37"/>
      <c r="F31" s="36"/>
      <c r="G31" s="35"/>
    </row>
    <row r="32" customFormat="false" ht="15" hidden="false" customHeight="false" outlineLevel="0" collapsed="false">
      <c r="A32" s="32"/>
      <c r="B32" s="33"/>
      <c r="C32" s="33"/>
      <c r="D32" s="33"/>
      <c r="E32" s="34"/>
      <c r="F32" s="33"/>
      <c r="G32" s="32"/>
    </row>
    <row r="33" customFormat="false" ht="15" hidden="false" customHeight="false" outlineLevel="0" collapsed="false">
      <c r="A33" s="35"/>
      <c r="B33" s="36"/>
      <c r="C33" s="36"/>
      <c r="D33" s="36"/>
      <c r="E33" s="37"/>
      <c r="F33" s="36"/>
      <c r="G33" s="35"/>
    </row>
    <row r="34" customFormat="false" ht="15" hidden="false" customHeight="false" outlineLevel="0" collapsed="false">
      <c r="A34" s="32"/>
      <c r="B34" s="33"/>
      <c r="C34" s="33"/>
      <c r="D34" s="33"/>
      <c r="E34" s="34"/>
      <c r="F34" s="33"/>
      <c r="G34" s="32"/>
    </row>
    <row r="35" customFormat="false" ht="15" hidden="false" customHeight="false" outlineLevel="0" collapsed="false">
      <c r="A35" s="35"/>
      <c r="B35" s="36"/>
      <c r="C35" s="36"/>
      <c r="D35" s="36"/>
      <c r="E35" s="37"/>
      <c r="F35" s="36"/>
      <c r="G35" s="35"/>
    </row>
    <row r="36" customFormat="false" ht="15" hidden="false" customHeight="false" outlineLevel="0" collapsed="false">
      <c r="A36" s="32"/>
      <c r="B36" s="33"/>
      <c r="C36" s="33"/>
      <c r="D36" s="33"/>
      <c r="E36" s="34"/>
      <c r="F36" s="33"/>
      <c r="G36" s="32"/>
    </row>
    <row r="37" customFormat="false" ht="15" hidden="false" customHeight="false" outlineLevel="0" collapsed="false">
      <c r="A37" s="35"/>
      <c r="B37" s="36"/>
      <c r="C37" s="36"/>
      <c r="D37" s="36"/>
      <c r="E37" s="37"/>
      <c r="F37" s="36"/>
      <c r="G37" s="35"/>
    </row>
    <row r="38" customFormat="false" ht="15" hidden="false" customHeight="false" outlineLevel="0" collapsed="false">
      <c r="A38" s="32"/>
      <c r="B38" s="33"/>
      <c r="C38" s="33"/>
      <c r="D38" s="33"/>
      <c r="E38" s="34"/>
      <c r="F38" s="33"/>
      <c r="G38" s="32"/>
    </row>
    <row r="39" customFormat="false" ht="15" hidden="false" customHeight="false" outlineLevel="0" collapsed="false">
      <c r="A39" s="35"/>
      <c r="B39" s="36"/>
      <c r="C39" s="36"/>
      <c r="D39" s="36"/>
      <c r="E39" s="37"/>
      <c r="F39" s="36"/>
      <c r="G39" s="35"/>
    </row>
    <row r="40" customFormat="false" ht="15" hidden="false" customHeight="false" outlineLevel="0" collapsed="false">
      <c r="A40" s="32"/>
      <c r="B40" s="33"/>
      <c r="C40" s="33"/>
      <c r="D40" s="33"/>
      <c r="E40" s="34"/>
      <c r="F40" s="33"/>
      <c r="G40" s="32"/>
    </row>
    <row r="41" customFormat="false" ht="15" hidden="false" customHeight="false" outlineLevel="0" collapsed="false">
      <c r="A41" s="35"/>
      <c r="B41" s="36"/>
      <c r="C41" s="36"/>
      <c r="D41" s="36"/>
      <c r="E41" s="37"/>
      <c r="F41" s="36"/>
      <c r="G41" s="35"/>
    </row>
    <row r="42" customFormat="false" ht="15" hidden="false" customHeight="false" outlineLevel="0" collapsed="false">
      <c r="A42" s="32"/>
      <c r="B42" s="33"/>
      <c r="C42" s="33"/>
      <c r="D42" s="33"/>
      <c r="E42" s="34"/>
      <c r="F42" s="33"/>
      <c r="G42" s="32"/>
    </row>
    <row r="43" customFormat="false" ht="15" hidden="false" customHeight="false" outlineLevel="0" collapsed="false">
      <c r="A43" s="35"/>
      <c r="B43" s="36"/>
      <c r="C43" s="36"/>
      <c r="D43" s="36"/>
      <c r="E43" s="37"/>
      <c r="F43" s="36"/>
      <c r="G43" s="35"/>
    </row>
    <row r="44" customFormat="false" ht="15" hidden="false" customHeight="false" outlineLevel="0" collapsed="false">
      <c r="A44" s="32"/>
      <c r="B44" s="33"/>
      <c r="C44" s="33"/>
      <c r="D44" s="33"/>
      <c r="E44" s="34"/>
      <c r="F44" s="33"/>
      <c r="G44" s="32"/>
    </row>
    <row r="45" customFormat="false" ht="15" hidden="false" customHeight="false" outlineLevel="0" collapsed="false">
      <c r="A45" s="35"/>
      <c r="B45" s="36"/>
      <c r="C45" s="36"/>
      <c r="D45" s="36"/>
      <c r="E45" s="37"/>
      <c r="F45" s="36"/>
      <c r="G45" s="35"/>
    </row>
    <row r="46" customFormat="false" ht="15" hidden="false" customHeight="false" outlineLevel="0" collapsed="false">
      <c r="A46" s="32"/>
      <c r="B46" s="33"/>
      <c r="C46" s="33"/>
      <c r="D46" s="33"/>
      <c r="E46" s="34"/>
      <c r="F46" s="33"/>
      <c r="G46" s="32"/>
    </row>
    <row r="47" customFormat="false" ht="15" hidden="false" customHeight="false" outlineLevel="0" collapsed="false">
      <c r="A47" s="35"/>
      <c r="B47" s="36"/>
      <c r="C47" s="36"/>
      <c r="D47" s="36"/>
      <c r="E47" s="37"/>
      <c r="F47" s="36"/>
      <c r="G47" s="35"/>
    </row>
    <row r="48" customFormat="false" ht="15" hidden="false" customHeight="false" outlineLevel="0" collapsed="false">
      <c r="A48" s="32"/>
      <c r="B48" s="33"/>
      <c r="C48" s="33"/>
      <c r="D48" s="33"/>
      <c r="E48" s="34"/>
      <c r="F48" s="33"/>
      <c r="G48" s="32"/>
    </row>
    <row r="49" customFormat="false" ht="15" hidden="false" customHeight="false" outlineLevel="0" collapsed="false">
      <c r="A49" s="35"/>
      <c r="B49" s="36"/>
      <c r="C49" s="36"/>
      <c r="D49" s="36"/>
      <c r="E49" s="37"/>
      <c r="F49" s="36"/>
      <c r="G49" s="35"/>
    </row>
    <row r="50" customFormat="false" ht="15" hidden="false" customHeight="false" outlineLevel="0" collapsed="false">
      <c r="A50" s="32"/>
      <c r="B50" s="33"/>
      <c r="C50" s="33"/>
      <c r="D50" s="33"/>
      <c r="E50" s="34"/>
      <c r="F50" s="33"/>
      <c r="G50" s="32"/>
    </row>
    <row r="51" customFormat="false" ht="15" hidden="false" customHeight="false" outlineLevel="0" collapsed="false">
      <c r="A51" s="35"/>
      <c r="B51" s="36"/>
      <c r="C51" s="36"/>
      <c r="D51" s="36"/>
      <c r="E51" s="37"/>
      <c r="F51" s="36"/>
      <c r="G51" s="35"/>
    </row>
    <row r="52" customFormat="false" ht="15" hidden="false" customHeight="false" outlineLevel="0" collapsed="false">
      <c r="A52" s="32"/>
      <c r="B52" s="33"/>
      <c r="C52" s="33"/>
      <c r="D52" s="33"/>
      <c r="E52" s="34"/>
      <c r="F52" s="33"/>
      <c r="G52" s="32"/>
    </row>
    <row r="53" customFormat="false" ht="15" hidden="false" customHeight="false" outlineLevel="0" collapsed="false">
      <c r="A53" s="35"/>
      <c r="B53" s="36"/>
      <c r="C53" s="36"/>
      <c r="D53" s="36"/>
      <c r="E53" s="37"/>
      <c r="F53" s="36"/>
      <c r="G53" s="35"/>
    </row>
    <row r="54" customFormat="false" ht="15" hidden="false" customHeight="false" outlineLevel="0" collapsed="false">
      <c r="A54" s="32"/>
      <c r="B54" s="33"/>
      <c r="C54" s="33"/>
      <c r="D54" s="33"/>
      <c r="E54" s="34"/>
      <c r="F54" s="33"/>
      <c r="G54" s="32"/>
    </row>
    <row r="55" customFormat="false" ht="15" hidden="false" customHeight="false" outlineLevel="0" collapsed="false">
      <c r="A55" s="35"/>
      <c r="B55" s="36"/>
      <c r="C55" s="36"/>
      <c r="D55" s="36"/>
      <c r="E55" s="37"/>
      <c r="F55" s="36"/>
      <c r="G55" s="35"/>
    </row>
    <row r="56" customFormat="false" ht="15" hidden="false" customHeight="false" outlineLevel="0" collapsed="false">
      <c r="A56" s="32"/>
      <c r="B56" s="33"/>
      <c r="C56" s="33"/>
      <c r="D56" s="33"/>
      <c r="E56" s="34"/>
      <c r="F56" s="33"/>
      <c r="G56" s="32"/>
    </row>
    <row r="57" customFormat="false" ht="15" hidden="false" customHeight="false" outlineLevel="0" collapsed="false">
      <c r="A57" s="35"/>
      <c r="B57" s="36"/>
      <c r="C57" s="36"/>
      <c r="D57" s="36"/>
      <c r="E57" s="37"/>
      <c r="F57" s="36"/>
      <c r="G57" s="35"/>
    </row>
    <row r="58" customFormat="false" ht="15" hidden="false" customHeight="false" outlineLevel="0" collapsed="false">
      <c r="A58" s="32"/>
      <c r="B58" s="33"/>
      <c r="C58" s="33"/>
      <c r="D58" s="33"/>
      <c r="E58" s="34"/>
      <c r="F58" s="33"/>
      <c r="G58" s="32"/>
    </row>
    <row r="59" customFormat="false" ht="15" hidden="false" customHeight="false" outlineLevel="0" collapsed="false">
      <c r="A59" s="35"/>
      <c r="B59" s="36"/>
      <c r="C59" s="36"/>
      <c r="D59" s="36"/>
      <c r="E59" s="37"/>
      <c r="F59" s="36"/>
      <c r="G59" s="35"/>
    </row>
    <row r="60" customFormat="false" ht="15" hidden="false" customHeight="false" outlineLevel="0" collapsed="false">
      <c r="A60" s="32"/>
      <c r="B60" s="33"/>
      <c r="C60" s="33"/>
      <c r="D60" s="33"/>
      <c r="E60" s="34"/>
      <c r="F60" s="33"/>
      <c r="G60" s="32"/>
    </row>
    <row r="61" customFormat="false" ht="15" hidden="false" customHeight="false" outlineLevel="0" collapsed="false">
      <c r="A61" s="35"/>
      <c r="B61" s="36"/>
      <c r="C61" s="36"/>
      <c r="D61" s="36"/>
      <c r="E61" s="37"/>
      <c r="F61" s="36"/>
      <c r="G61" s="35"/>
    </row>
    <row r="62" customFormat="false" ht="15" hidden="false" customHeight="false" outlineLevel="0" collapsed="false">
      <c r="A62" s="32"/>
      <c r="B62" s="33"/>
      <c r="C62" s="33"/>
      <c r="D62" s="33"/>
      <c r="E62" s="34"/>
      <c r="F62" s="33"/>
      <c r="G62" s="32"/>
    </row>
    <row r="63" customFormat="false" ht="15" hidden="false" customHeight="false" outlineLevel="0" collapsed="false">
      <c r="A63" s="35"/>
      <c r="B63" s="36"/>
      <c r="C63" s="36"/>
      <c r="D63" s="36"/>
      <c r="E63" s="37"/>
      <c r="F63" s="36"/>
      <c r="G63" s="35"/>
    </row>
    <row r="64" customFormat="false" ht="15" hidden="false" customHeight="false" outlineLevel="0" collapsed="false">
      <c r="A64" s="32"/>
      <c r="B64" s="33"/>
      <c r="C64" s="33"/>
      <c r="D64" s="33"/>
      <c r="E64" s="34"/>
      <c r="F64" s="33"/>
      <c r="G64" s="32"/>
    </row>
    <row r="65" customFormat="false" ht="15" hidden="false" customHeight="false" outlineLevel="0" collapsed="false">
      <c r="A65" s="35"/>
      <c r="B65" s="36"/>
      <c r="C65" s="36"/>
      <c r="D65" s="36"/>
      <c r="E65" s="37"/>
      <c r="F65" s="36"/>
      <c r="G65" s="35"/>
    </row>
    <row r="66" customFormat="false" ht="15" hidden="false" customHeight="false" outlineLevel="0" collapsed="false">
      <c r="A66" s="32"/>
      <c r="B66" s="33"/>
      <c r="C66" s="33"/>
      <c r="D66" s="33"/>
      <c r="E66" s="34"/>
      <c r="F66" s="33"/>
      <c r="G66" s="32"/>
    </row>
    <row r="67" customFormat="false" ht="15" hidden="false" customHeight="false" outlineLevel="0" collapsed="false">
      <c r="A67" s="35"/>
      <c r="B67" s="36"/>
      <c r="C67" s="36"/>
      <c r="D67" s="36"/>
      <c r="E67" s="37"/>
      <c r="F67" s="36"/>
      <c r="G67" s="35"/>
    </row>
    <row r="68" customFormat="false" ht="15" hidden="false" customHeight="false" outlineLevel="0" collapsed="false">
      <c r="A68" s="32"/>
      <c r="B68" s="33"/>
      <c r="C68" s="33"/>
      <c r="D68" s="33"/>
      <c r="E68" s="34"/>
      <c r="F68" s="33"/>
      <c r="G68" s="32"/>
    </row>
    <row r="69" customFormat="false" ht="15" hidden="false" customHeight="false" outlineLevel="0" collapsed="false">
      <c r="A69" s="35"/>
      <c r="B69" s="36"/>
      <c r="C69" s="36"/>
      <c r="D69" s="36"/>
      <c r="E69" s="37"/>
      <c r="F69" s="36"/>
      <c r="G69" s="35"/>
    </row>
    <row r="70" customFormat="false" ht="15" hidden="false" customHeight="false" outlineLevel="0" collapsed="false">
      <c r="A70" s="32"/>
      <c r="B70" s="33"/>
      <c r="C70" s="33"/>
      <c r="D70" s="33"/>
      <c r="E70" s="34"/>
      <c r="F70" s="33"/>
      <c r="G70" s="32"/>
    </row>
    <row r="71" customFormat="false" ht="15" hidden="false" customHeight="false" outlineLevel="0" collapsed="false">
      <c r="A71" s="35"/>
      <c r="B71" s="36"/>
      <c r="C71" s="36"/>
      <c r="D71" s="36"/>
      <c r="E71" s="37"/>
      <c r="F71" s="36"/>
      <c r="G71" s="35"/>
    </row>
    <row r="72" customFormat="false" ht="15" hidden="false" customHeight="false" outlineLevel="0" collapsed="false">
      <c r="A72" s="32"/>
      <c r="B72" s="33"/>
      <c r="C72" s="33"/>
      <c r="D72" s="33"/>
      <c r="E72" s="34"/>
      <c r="F72" s="33"/>
      <c r="G72" s="32"/>
    </row>
    <row r="73" customFormat="false" ht="15" hidden="false" customHeight="false" outlineLevel="0" collapsed="false">
      <c r="A73" s="35"/>
      <c r="B73" s="36"/>
      <c r="C73" s="36"/>
      <c r="D73" s="36"/>
      <c r="E73" s="37"/>
      <c r="F73" s="36"/>
      <c r="G73" s="35"/>
    </row>
    <row r="74" customFormat="false" ht="15" hidden="false" customHeight="false" outlineLevel="0" collapsed="false">
      <c r="A74" s="32"/>
      <c r="B74" s="33"/>
      <c r="C74" s="33"/>
      <c r="D74" s="33"/>
      <c r="E74" s="34"/>
      <c r="F74" s="33"/>
      <c r="G74" s="32"/>
    </row>
    <row r="75" customFormat="false" ht="15" hidden="false" customHeight="false" outlineLevel="0" collapsed="false">
      <c r="A75" s="35"/>
      <c r="B75" s="36"/>
      <c r="C75" s="36"/>
      <c r="D75" s="36"/>
      <c r="E75" s="37"/>
      <c r="F75" s="36"/>
      <c r="G75" s="35"/>
    </row>
    <row r="76" customFormat="false" ht="15" hidden="false" customHeight="false" outlineLevel="0" collapsed="false">
      <c r="A76" s="32"/>
      <c r="B76" s="33"/>
      <c r="C76" s="33"/>
      <c r="D76" s="33"/>
      <c r="E76" s="34"/>
      <c r="F76" s="33"/>
      <c r="G76" s="32"/>
    </row>
    <row r="77" customFormat="false" ht="15" hidden="false" customHeight="false" outlineLevel="0" collapsed="false">
      <c r="A77" s="35"/>
      <c r="B77" s="36"/>
      <c r="C77" s="36"/>
      <c r="D77" s="36"/>
      <c r="E77" s="37"/>
      <c r="F77" s="36"/>
      <c r="G77" s="35"/>
    </row>
    <row r="78" customFormat="false" ht="15" hidden="false" customHeight="false" outlineLevel="0" collapsed="false">
      <c r="A78" s="32"/>
      <c r="B78" s="33"/>
      <c r="C78" s="33"/>
      <c r="D78" s="33"/>
      <c r="E78" s="34"/>
      <c r="F78" s="33"/>
      <c r="G78" s="32"/>
    </row>
    <row r="79" customFormat="false" ht="15" hidden="false" customHeight="false" outlineLevel="0" collapsed="false">
      <c r="A79" s="35"/>
      <c r="B79" s="36"/>
      <c r="C79" s="36"/>
      <c r="D79" s="36"/>
      <c r="E79" s="37"/>
      <c r="F79" s="36"/>
      <c r="G79" s="35"/>
    </row>
    <row r="80" customFormat="false" ht="15" hidden="false" customHeight="false" outlineLevel="0" collapsed="false">
      <c r="A80" s="32"/>
      <c r="B80" s="33"/>
      <c r="C80" s="33"/>
      <c r="D80" s="33"/>
      <c r="E80" s="34"/>
      <c r="F80" s="33"/>
      <c r="G80" s="32"/>
    </row>
    <row r="81" customFormat="false" ht="15" hidden="false" customHeight="false" outlineLevel="0" collapsed="false">
      <c r="A81" s="35"/>
      <c r="B81" s="36"/>
      <c r="C81" s="36"/>
      <c r="D81" s="36"/>
      <c r="E81" s="37"/>
      <c r="F81" s="36"/>
      <c r="G81" s="35"/>
    </row>
    <row r="82" customFormat="false" ht="15" hidden="false" customHeight="false" outlineLevel="0" collapsed="false">
      <c r="A82" s="32"/>
      <c r="B82" s="33"/>
      <c r="C82" s="33"/>
      <c r="D82" s="33"/>
      <c r="E82" s="34"/>
      <c r="F82" s="33"/>
      <c r="G82" s="32"/>
    </row>
    <row r="83" customFormat="false" ht="15" hidden="false" customHeight="false" outlineLevel="0" collapsed="false">
      <c r="A83" s="35"/>
      <c r="B83" s="36"/>
      <c r="C83" s="36"/>
      <c r="D83" s="36"/>
      <c r="E83" s="37"/>
      <c r="F83" s="36"/>
      <c r="G83" s="35"/>
    </row>
    <row r="84" customFormat="false" ht="15" hidden="false" customHeight="false" outlineLevel="0" collapsed="false">
      <c r="A84" s="32"/>
      <c r="B84" s="33"/>
      <c r="C84" s="33"/>
      <c r="D84" s="33"/>
      <c r="E84" s="34"/>
      <c r="F84" s="33"/>
      <c r="G84" s="32"/>
    </row>
    <row r="85" customFormat="false" ht="15" hidden="false" customHeight="false" outlineLevel="0" collapsed="false">
      <c r="A85" s="35"/>
      <c r="B85" s="36"/>
      <c r="C85" s="36"/>
      <c r="D85" s="36"/>
      <c r="E85" s="37"/>
      <c r="F85" s="36"/>
      <c r="G85" s="35"/>
    </row>
    <row r="86" customFormat="false" ht="15" hidden="false" customHeight="false" outlineLevel="0" collapsed="false">
      <c r="A86" s="32"/>
      <c r="B86" s="33"/>
      <c r="C86" s="33"/>
      <c r="D86" s="33"/>
      <c r="E86" s="34"/>
      <c r="F86" s="33"/>
      <c r="G86" s="32"/>
    </row>
    <row r="87" customFormat="false" ht="15" hidden="false" customHeight="false" outlineLevel="0" collapsed="false">
      <c r="A87" s="35"/>
      <c r="B87" s="36"/>
      <c r="C87" s="36"/>
      <c r="D87" s="36"/>
      <c r="E87" s="37"/>
      <c r="F87" s="36"/>
      <c r="G87" s="35"/>
    </row>
    <row r="88" customFormat="false" ht="15" hidden="false" customHeight="false" outlineLevel="0" collapsed="false">
      <c r="A88" s="32"/>
      <c r="B88" s="33"/>
      <c r="C88" s="33"/>
      <c r="D88" s="33"/>
      <c r="E88" s="34"/>
      <c r="F88" s="33"/>
      <c r="G88" s="32"/>
    </row>
    <row r="89" customFormat="false" ht="15" hidden="false" customHeight="false" outlineLevel="0" collapsed="false">
      <c r="A89" s="35"/>
      <c r="B89" s="36"/>
      <c r="C89" s="36"/>
      <c r="D89" s="36"/>
      <c r="E89" s="37"/>
      <c r="F89" s="36"/>
      <c r="G89" s="35"/>
    </row>
    <row r="90" customFormat="false" ht="15" hidden="false" customHeight="false" outlineLevel="0" collapsed="false">
      <c r="A90" s="32"/>
      <c r="B90" s="33"/>
      <c r="C90" s="33"/>
      <c r="D90" s="33"/>
      <c r="E90" s="34"/>
      <c r="F90" s="33"/>
      <c r="G90" s="32"/>
    </row>
    <row r="91" customFormat="false" ht="15" hidden="false" customHeight="false" outlineLevel="0" collapsed="false">
      <c r="A91" s="35"/>
      <c r="B91" s="36"/>
      <c r="C91" s="36"/>
      <c r="D91" s="36"/>
      <c r="E91" s="37"/>
      <c r="F91" s="36"/>
      <c r="G91" s="35"/>
    </row>
    <row r="92" customFormat="false" ht="15" hidden="false" customHeight="false" outlineLevel="0" collapsed="false">
      <c r="A92" s="32"/>
      <c r="B92" s="33"/>
      <c r="C92" s="33"/>
      <c r="D92" s="33"/>
      <c r="E92" s="34"/>
      <c r="F92" s="33"/>
      <c r="G92" s="32"/>
    </row>
    <row r="93" customFormat="false" ht="15" hidden="false" customHeight="false" outlineLevel="0" collapsed="false">
      <c r="A93" s="35"/>
      <c r="B93" s="36"/>
      <c r="C93" s="36"/>
      <c r="D93" s="36"/>
      <c r="E93" s="37"/>
      <c r="F93" s="36"/>
      <c r="G93" s="35"/>
    </row>
    <row r="94" customFormat="false" ht="15" hidden="false" customHeight="false" outlineLevel="0" collapsed="false">
      <c r="A94" s="32"/>
      <c r="B94" s="33"/>
      <c r="C94" s="33"/>
      <c r="D94" s="33"/>
      <c r="E94" s="34"/>
      <c r="F94" s="33"/>
      <c r="G94" s="32"/>
    </row>
    <row r="95" customFormat="false" ht="15" hidden="false" customHeight="false" outlineLevel="0" collapsed="false">
      <c r="A95" s="35"/>
      <c r="B95" s="36"/>
      <c r="C95" s="36"/>
      <c r="D95" s="36"/>
      <c r="E95" s="37"/>
      <c r="F95" s="36"/>
      <c r="G95" s="35"/>
    </row>
    <row r="96" customFormat="false" ht="15" hidden="false" customHeight="false" outlineLevel="0" collapsed="false">
      <c r="A96" s="32"/>
      <c r="B96" s="33"/>
      <c r="C96" s="33"/>
      <c r="D96" s="33"/>
      <c r="E96" s="34"/>
      <c r="F96" s="33"/>
      <c r="G96" s="32"/>
    </row>
    <row r="97" customFormat="false" ht="15" hidden="false" customHeight="false" outlineLevel="0" collapsed="false">
      <c r="A97" s="35"/>
      <c r="B97" s="36"/>
      <c r="C97" s="36"/>
      <c r="D97" s="36"/>
      <c r="E97" s="37"/>
      <c r="F97" s="36"/>
      <c r="G97" s="35"/>
    </row>
    <row r="98" customFormat="false" ht="15" hidden="false" customHeight="false" outlineLevel="0" collapsed="false">
      <c r="A98" s="32"/>
      <c r="B98" s="33"/>
      <c r="C98" s="33"/>
      <c r="D98" s="33"/>
      <c r="E98" s="34"/>
      <c r="F98" s="33"/>
      <c r="G98" s="32"/>
    </row>
    <row r="99" customFormat="false" ht="15" hidden="false" customHeight="false" outlineLevel="0" collapsed="false">
      <c r="A99" s="35"/>
      <c r="B99" s="36"/>
      <c r="C99" s="36"/>
      <c r="D99" s="36"/>
      <c r="E99" s="37"/>
      <c r="F99" s="36"/>
      <c r="G99" s="35"/>
    </row>
    <row r="100" customFormat="false" ht="15" hidden="false" customHeight="false" outlineLevel="0" collapsed="false">
      <c r="A100" s="32"/>
      <c r="B100" s="33"/>
      <c r="C100" s="33"/>
      <c r="D100" s="33"/>
      <c r="E100" s="34"/>
      <c r="F100" s="33"/>
      <c r="G100" s="32"/>
    </row>
    <row r="101" customFormat="false" ht="15" hidden="false" customHeight="false" outlineLevel="0" collapsed="false">
      <c r="A101" s="35"/>
      <c r="B101" s="36"/>
      <c r="C101" s="36"/>
      <c r="D101" s="36"/>
      <c r="E101" s="37"/>
      <c r="F101" s="36"/>
      <c r="G101" s="35"/>
    </row>
    <row r="102" customFormat="false" ht="15" hidden="false" customHeight="false" outlineLevel="0" collapsed="false">
      <c r="A102" s="32"/>
      <c r="B102" s="33"/>
      <c r="C102" s="33"/>
      <c r="D102" s="33"/>
      <c r="E102" s="34"/>
      <c r="F102" s="33"/>
      <c r="G102" s="32"/>
    </row>
    <row r="103" customFormat="false" ht="15" hidden="false" customHeight="false" outlineLevel="0" collapsed="false">
      <c r="A103" s="35"/>
      <c r="B103" s="36"/>
      <c r="C103" s="36"/>
      <c r="D103" s="36"/>
      <c r="E103" s="37"/>
      <c r="F103" s="36"/>
      <c r="G103" s="35"/>
    </row>
    <row r="104" customFormat="false" ht="15" hidden="false" customHeight="false" outlineLevel="0" collapsed="false">
      <c r="A104" s="32"/>
      <c r="B104" s="33"/>
      <c r="C104" s="33"/>
      <c r="D104" s="33"/>
      <c r="E104" s="34"/>
      <c r="F104" s="33"/>
      <c r="G104" s="32"/>
    </row>
    <row r="105" customFormat="false" ht="15" hidden="false" customHeight="false" outlineLevel="0" collapsed="false">
      <c r="A105" s="35"/>
      <c r="B105" s="36"/>
      <c r="C105" s="36"/>
      <c r="D105" s="36"/>
      <c r="E105" s="37"/>
      <c r="F105" s="36"/>
      <c r="G105" s="35"/>
    </row>
  </sheetData>
  <mergeCells count="2">
    <mergeCell ref="A1:H1"/>
    <mergeCell ref="A2:H2"/>
  </mergeCells>
  <conditionalFormatting sqref="F6:F105">
    <cfRule type="cellIs" priority="2" operator="equal" aboveAverage="0" equalAverage="0" bottom="0" percent="0" rank="0" text="" dxfId="0">
      <formula>"Paid"</formula>
    </cfRule>
    <cfRule type="cellIs" priority="3" operator="equal" aboveAverage="0" equalAverage="0" bottom="0" percent="0" rank="0" text="" dxfId="1">
      <formula>"Sent"</formula>
    </cfRule>
    <cfRule type="cellIs" priority="4" operator="equal" aboveAverage="0" equalAverage="0" bottom="0" percent="0" rank="0" text="" dxfId="2">
      <formula>"Overdue"</formula>
    </cfRule>
  </conditionalFormatting>
  <dataValidations count="2">
    <dataValidation allowBlank="true" errorStyle="stop" operator="between" showDropDown="false" showErrorMessage="false" showInputMessage="false" sqref="B6:B105" type="list">
      <formula1>ClientList</formula1>
      <formula2>0</formula2>
    </dataValidation>
    <dataValidation allowBlank="true" errorStyle="stop" operator="between" showDropDown="false" showErrorMessage="false" showInputMessage="false" sqref="F6:F105" type="list">
      <formula1>"Draft,Sent,Paid,Overdue"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E8F"/>
    <pageSetUpPr fitToPage="fals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9" min="8" style="0" width="14"/>
    <col collapsed="false" customWidth="true" hidden="false" outlineLevel="0" max="10" min="10" style="0" width="4"/>
    <col collapsed="false" customWidth="true" hidden="false" outlineLevel="0" max="12" min="11" style="0" width="14"/>
  </cols>
  <sheetData>
    <row r="1" customFormat="false" ht="25.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7" t="s">
        <v>77</v>
      </c>
      <c r="C4" s="11" t="n">
        <v>2026</v>
      </c>
    </row>
    <row r="6" customFormat="false" ht="15.75" hidden="false" customHeight="true" outlineLevel="0" collapsed="false">
      <c r="B6" s="38" t="s">
        <v>78</v>
      </c>
      <c r="C6" s="38"/>
      <c r="E6" s="38" t="s">
        <v>79</v>
      </c>
      <c r="F6" s="38"/>
      <c r="H6" s="38" t="s">
        <v>80</v>
      </c>
      <c r="I6" s="38"/>
      <c r="K6" s="38" t="s">
        <v>81</v>
      </c>
      <c r="L6" s="38"/>
    </row>
    <row r="7" customFormat="false" ht="27.75" hidden="false" customHeight="true" outlineLevel="0" collapsed="false">
      <c r="B7" s="39" t="n">
        <f aca="false">SUMIFS('Income Log'!$E$6:$E$105,'Income Log'!$A$6:$A$105,"&gt;="&amp;DATE($C$4,1,1),'Income Log'!$A$6:$A$105,"&lt;"&amp;DATE($C$4+1,1,1))</f>
        <v>2970</v>
      </c>
      <c r="C7" s="39"/>
      <c r="E7" s="40" t="n">
        <f aca="false">SUMIFS('Income Log'!$E$6:$E$105,'Income Log'!$F$6:$F$105,"Paid",'Income Log'!$A$6:$A$105,"&gt;="&amp;DATE($C$4,1,1),'Income Log'!$A$6:$A$105,"&lt;"&amp;DATE($C$4+1,1,1))</f>
        <v>2370</v>
      </c>
      <c r="F7" s="40"/>
      <c r="H7" s="41" t="n">
        <f aca="false">B7-E7</f>
        <v>600</v>
      </c>
      <c r="I7" s="41"/>
      <c r="K7" s="42" t="n">
        <f aca="false">COUNTIFS('Income Log'!$A$6:$A$105,"&gt;="&amp;DATE($C$4,1,1),'Income Log'!$A$6:$A$105,"&lt;"&amp;DATE($C$4+1,1,1))</f>
        <v>3</v>
      </c>
      <c r="L7" s="42"/>
    </row>
    <row r="10" customFormat="false" ht="15" hidden="false" customHeight="false" outlineLevel="0" collapsed="false">
      <c r="B10" s="5" t="s">
        <v>82</v>
      </c>
      <c r="H10" s="5" t="s">
        <v>83</v>
      </c>
    </row>
    <row r="11" customFormat="false" ht="19.5" hidden="false" customHeight="true" outlineLevel="0" collapsed="false">
      <c r="A11" s="15" t="s">
        <v>84</v>
      </c>
      <c r="B11" s="15" t="s">
        <v>85</v>
      </c>
      <c r="C11" s="15" t="s">
        <v>86</v>
      </c>
      <c r="H11" s="15" t="s">
        <v>39</v>
      </c>
      <c r="I11" s="15" t="s">
        <v>86</v>
      </c>
    </row>
    <row r="12" customFormat="false" ht="15" hidden="false" customHeight="false" outlineLevel="0" collapsed="false">
      <c r="A12" s="43" t="n">
        <v>1</v>
      </c>
      <c r="B12" s="44" t="s">
        <v>87</v>
      </c>
      <c r="C12" s="45" t="n">
        <f aca="false">SUMIFS('Income Log'!$E$6:$E$105,'Income Log'!$A$6:$A$105,"&gt;="&amp;DATE($C$4,$A12,1),'Income Log'!$A$6:$A$105,"&lt;"&amp;DATE($C$4,$A12+1,1))</f>
        <v>1520</v>
      </c>
      <c r="H12" s="44" t="str">
        <f aca="false">IF(Settings!A18="","",Settings!A18)</f>
        <v>Acme Studios</v>
      </c>
      <c r="I12" s="45" t="n">
        <f aca="false">IF($H12="","",SUMIFS('Income Log'!$E$6:$E$105,'Income Log'!$B$6:$B$105,$H12,'Income Log'!$A$6:$A$105,"&gt;="&amp;DATE($C$4,1,1),'Income Log'!$A$6:$A$105,"&lt;"&amp;DATE($C$4+1,1,1)))</f>
        <v>2120</v>
      </c>
    </row>
    <row r="13" customFormat="false" ht="15" hidden="false" customHeight="false" outlineLevel="0" collapsed="false">
      <c r="A13" s="43" t="n">
        <v>2</v>
      </c>
      <c r="B13" s="44" t="s">
        <v>88</v>
      </c>
      <c r="C13" s="45" t="n">
        <f aca="false">SUMIFS('Income Log'!$E$6:$E$105,'Income Log'!$A$6:$A$105,"&gt;="&amp;DATE($C$4,$A13,1),'Income Log'!$A$6:$A$105,"&lt;"&amp;DATE($C$4,$A13+1,1))</f>
        <v>850</v>
      </c>
      <c r="H13" s="44" t="str">
        <f aca="false">IF(Settings!A19="","",Settings!A19)</f>
        <v>Beacon Coffee Co.</v>
      </c>
      <c r="I13" s="45" t="n">
        <f aca="false">IF($H13="","",SUMIFS('Income Log'!$E$6:$E$105,'Income Log'!$B$6:$B$105,$H13,'Income Log'!$A$6:$A$105,"&gt;="&amp;DATE($C$4,1,1),'Income Log'!$A$6:$A$105,"&lt;"&amp;DATE($C$4+1,1,1)))</f>
        <v>850</v>
      </c>
    </row>
    <row r="14" customFormat="false" ht="15" hidden="false" customHeight="false" outlineLevel="0" collapsed="false">
      <c r="A14" s="43" t="n">
        <v>3</v>
      </c>
      <c r="B14" s="44" t="s">
        <v>89</v>
      </c>
      <c r="C14" s="45" t="n">
        <f aca="false">SUMIFS('Income Log'!$E$6:$E$105,'Income Log'!$A$6:$A$105,"&gt;="&amp;DATE($C$4,$A14,1),'Income Log'!$A$6:$A$105,"&lt;"&amp;DATE($C$4,$A14+1,1))</f>
        <v>600</v>
      </c>
      <c r="H14" s="44" t="str">
        <f aca="false">IF(Settings!A20="","",Settings!A20)</f>
        <v/>
      </c>
      <c r="I14" s="45" t="str">
        <f aca="false">IF($H14="","",SUMIFS('Income Log'!$E$6:$E$105,'Income Log'!$B$6:$B$105,$H14,'Income Log'!$A$6:$A$105,"&gt;="&amp;DATE($C$4,1,1),'Income Log'!$A$6:$A$105,"&lt;"&amp;DATE($C$4+1,1,1)))</f>
        <v/>
      </c>
    </row>
    <row r="15" customFormat="false" ht="15" hidden="false" customHeight="false" outlineLevel="0" collapsed="false">
      <c r="A15" s="43" t="n">
        <v>4</v>
      </c>
      <c r="B15" s="44" t="s">
        <v>90</v>
      </c>
      <c r="C15" s="45" t="n">
        <f aca="false">SUMIFS('Income Log'!$E$6:$E$105,'Income Log'!$A$6:$A$105,"&gt;="&amp;DATE($C$4,$A15,1),'Income Log'!$A$6:$A$105,"&lt;"&amp;DATE($C$4,$A15+1,1))</f>
        <v>0</v>
      </c>
      <c r="H15" s="44" t="str">
        <f aca="false">IF(Settings!A21="","",Settings!A21)</f>
        <v/>
      </c>
      <c r="I15" s="45" t="str">
        <f aca="false">IF($H15="","",SUMIFS('Income Log'!$E$6:$E$105,'Income Log'!$B$6:$B$105,$H15,'Income Log'!$A$6:$A$105,"&gt;="&amp;DATE($C$4,1,1),'Income Log'!$A$6:$A$105,"&lt;"&amp;DATE($C$4+1,1,1)))</f>
        <v/>
      </c>
    </row>
    <row r="16" customFormat="false" ht="15" hidden="false" customHeight="false" outlineLevel="0" collapsed="false">
      <c r="A16" s="43" t="n">
        <v>5</v>
      </c>
      <c r="B16" s="44" t="s">
        <v>91</v>
      </c>
      <c r="C16" s="45" t="n">
        <f aca="false">SUMIFS('Income Log'!$E$6:$E$105,'Income Log'!$A$6:$A$105,"&gt;="&amp;DATE($C$4,$A16,1),'Income Log'!$A$6:$A$105,"&lt;"&amp;DATE($C$4,$A16+1,1))</f>
        <v>0</v>
      </c>
      <c r="H16" s="44" t="str">
        <f aca="false">IF(Settings!A22="","",Settings!A22)</f>
        <v/>
      </c>
      <c r="I16" s="45" t="str">
        <f aca="false">IF($H16="","",SUMIFS('Income Log'!$E$6:$E$105,'Income Log'!$B$6:$B$105,$H16,'Income Log'!$A$6:$A$105,"&gt;="&amp;DATE($C$4,1,1),'Income Log'!$A$6:$A$105,"&lt;"&amp;DATE($C$4+1,1,1)))</f>
        <v/>
      </c>
    </row>
    <row r="17" customFormat="false" ht="15" hidden="false" customHeight="false" outlineLevel="0" collapsed="false">
      <c r="A17" s="43" t="n">
        <v>6</v>
      </c>
      <c r="B17" s="44" t="s">
        <v>92</v>
      </c>
      <c r="C17" s="45" t="n">
        <f aca="false">SUMIFS('Income Log'!$E$6:$E$105,'Income Log'!$A$6:$A$105,"&gt;="&amp;DATE($C$4,$A17,1),'Income Log'!$A$6:$A$105,"&lt;"&amp;DATE($C$4,$A17+1,1))</f>
        <v>0</v>
      </c>
      <c r="H17" s="44" t="str">
        <f aca="false">IF(Settings!A23="","",Settings!A23)</f>
        <v/>
      </c>
      <c r="I17" s="45" t="str">
        <f aca="false">IF($H17="","",SUMIFS('Income Log'!$E$6:$E$105,'Income Log'!$B$6:$B$105,$H17,'Income Log'!$A$6:$A$105,"&gt;="&amp;DATE($C$4,1,1),'Income Log'!$A$6:$A$105,"&lt;"&amp;DATE($C$4+1,1,1)))</f>
        <v/>
      </c>
    </row>
    <row r="18" customFormat="false" ht="15" hidden="false" customHeight="false" outlineLevel="0" collapsed="false">
      <c r="A18" s="43" t="n">
        <v>7</v>
      </c>
      <c r="B18" s="44" t="s">
        <v>93</v>
      </c>
      <c r="C18" s="45" t="n">
        <f aca="false">SUMIFS('Income Log'!$E$6:$E$105,'Income Log'!$A$6:$A$105,"&gt;="&amp;DATE($C$4,$A18,1),'Income Log'!$A$6:$A$105,"&lt;"&amp;DATE($C$4,$A18+1,1))</f>
        <v>0</v>
      </c>
      <c r="H18" s="44" t="str">
        <f aca="false">IF(Settings!A24="","",Settings!A24)</f>
        <v/>
      </c>
      <c r="I18" s="45" t="str">
        <f aca="false">IF($H18="","",SUMIFS('Income Log'!$E$6:$E$105,'Income Log'!$B$6:$B$105,$H18,'Income Log'!$A$6:$A$105,"&gt;="&amp;DATE($C$4,1,1),'Income Log'!$A$6:$A$105,"&lt;"&amp;DATE($C$4+1,1,1)))</f>
        <v/>
      </c>
    </row>
    <row r="19" customFormat="false" ht="15" hidden="false" customHeight="false" outlineLevel="0" collapsed="false">
      <c r="A19" s="43" t="n">
        <v>8</v>
      </c>
      <c r="B19" s="44" t="s">
        <v>94</v>
      </c>
      <c r="C19" s="45" t="n">
        <f aca="false">SUMIFS('Income Log'!$E$6:$E$105,'Income Log'!$A$6:$A$105,"&gt;="&amp;DATE($C$4,$A19,1),'Income Log'!$A$6:$A$105,"&lt;"&amp;DATE($C$4,$A19+1,1))</f>
        <v>0</v>
      </c>
      <c r="H19" s="44" t="str">
        <f aca="false">IF(Settings!A25="","",Settings!A25)</f>
        <v/>
      </c>
      <c r="I19" s="45" t="str">
        <f aca="false">IF($H19="","",SUMIFS('Income Log'!$E$6:$E$105,'Income Log'!$B$6:$B$105,$H19,'Income Log'!$A$6:$A$105,"&gt;="&amp;DATE($C$4,1,1),'Income Log'!$A$6:$A$105,"&lt;"&amp;DATE($C$4+1,1,1)))</f>
        <v/>
      </c>
    </row>
    <row r="20" customFormat="false" ht="15" hidden="false" customHeight="false" outlineLevel="0" collapsed="false">
      <c r="A20" s="43" t="n">
        <v>9</v>
      </c>
      <c r="B20" s="44" t="s">
        <v>95</v>
      </c>
      <c r="C20" s="45" t="n">
        <f aca="false">SUMIFS('Income Log'!$E$6:$E$105,'Income Log'!$A$6:$A$105,"&gt;="&amp;DATE($C$4,$A20,1),'Income Log'!$A$6:$A$105,"&lt;"&amp;DATE($C$4,$A20+1,1))</f>
        <v>0</v>
      </c>
      <c r="H20" s="44" t="str">
        <f aca="false">IF(Settings!A26="","",Settings!A26)</f>
        <v/>
      </c>
      <c r="I20" s="45" t="str">
        <f aca="false">IF($H20="","",SUMIFS('Income Log'!$E$6:$E$105,'Income Log'!$B$6:$B$105,$H20,'Income Log'!$A$6:$A$105,"&gt;="&amp;DATE($C$4,1,1),'Income Log'!$A$6:$A$105,"&lt;"&amp;DATE($C$4+1,1,1)))</f>
        <v/>
      </c>
    </row>
    <row r="21" customFormat="false" ht="15" hidden="false" customHeight="false" outlineLevel="0" collapsed="false">
      <c r="A21" s="43" t="n">
        <v>10</v>
      </c>
      <c r="B21" s="44" t="s">
        <v>96</v>
      </c>
      <c r="C21" s="45" t="n">
        <f aca="false">SUMIFS('Income Log'!$E$6:$E$105,'Income Log'!$A$6:$A$105,"&gt;="&amp;DATE($C$4,$A21,1),'Income Log'!$A$6:$A$105,"&lt;"&amp;DATE($C$4,$A21+1,1))</f>
        <v>0</v>
      </c>
      <c r="H21" s="44" t="str">
        <f aca="false">IF(Settings!A27="","",Settings!A27)</f>
        <v/>
      </c>
      <c r="I21" s="45" t="str">
        <f aca="false">IF($H21="","",SUMIFS('Income Log'!$E$6:$E$105,'Income Log'!$B$6:$B$105,$H21,'Income Log'!$A$6:$A$105,"&gt;="&amp;DATE($C$4,1,1),'Income Log'!$A$6:$A$105,"&lt;"&amp;DATE($C$4+1,1,1)))</f>
        <v/>
      </c>
    </row>
    <row r="22" customFormat="false" ht="15" hidden="false" customHeight="false" outlineLevel="0" collapsed="false">
      <c r="A22" s="43" t="n">
        <v>11</v>
      </c>
      <c r="B22" s="44" t="s">
        <v>97</v>
      </c>
      <c r="C22" s="45" t="n">
        <f aca="false">SUMIFS('Income Log'!$E$6:$E$105,'Income Log'!$A$6:$A$105,"&gt;="&amp;DATE($C$4,$A22,1),'Income Log'!$A$6:$A$105,"&lt;"&amp;DATE($C$4,$A22+1,1))</f>
        <v>0</v>
      </c>
      <c r="H22" s="46" t="str">
        <f aca="false">IF(Settings!A28="","",Settings!A28)</f>
        <v/>
      </c>
      <c r="I22" s="47" t="str">
        <f aca="false">IF($H22="","",SUMIFS('Income Log'!$E$6:$E$105,'Income Log'!$B$6:$B$105,$H22,'Income Log'!$A$6:$A$105,"&gt;="&amp;DATE($C$4,1,1),'Income Log'!$A$6:$A$105,"&lt;"&amp;DATE($C$4+1,1,1)))</f>
        <v/>
      </c>
    </row>
    <row r="23" customFormat="false" ht="15" hidden="false" customHeight="false" outlineLevel="0" collapsed="false">
      <c r="A23" s="43" t="n">
        <v>12</v>
      </c>
      <c r="B23" s="44" t="s">
        <v>98</v>
      </c>
      <c r="C23" s="45" t="n">
        <f aca="false">SUMIFS('Income Log'!$E$6:$E$105,'Income Log'!$A$6:$A$105,"&gt;="&amp;DATE($C$4,$A23,1),'Income Log'!$A$6:$A$105,"&lt;"&amp;DATE($C$4,$A23+1,1))</f>
        <v>0</v>
      </c>
      <c r="H23" s="46" t="str">
        <f aca="false">IF(Settings!A29="","",Settings!A29)</f>
        <v/>
      </c>
      <c r="I23" s="47" t="str">
        <f aca="false">IF($H23="","",SUMIFS('Income Log'!$E$6:$E$105,'Income Log'!$B$6:$B$105,$H23,'Income Log'!$A$6:$A$105,"&gt;="&amp;DATE($C$4,1,1),'Income Log'!$A$6:$A$105,"&lt;"&amp;DATE($C$4+1,1,1)))</f>
        <v/>
      </c>
    </row>
    <row r="24" customFormat="false" ht="15" hidden="false" customHeight="false" outlineLevel="0" collapsed="false">
      <c r="H24" s="46" t="str">
        <f aca="false">IF(Settings!A30="","",Settings!A30)</f>
        <v/>
      </c>
      <c r="I24" s="47" t="str">
        <f aca="false">IF($H24="","",SUMIFS('Income Log'!$E$6:$E$105,'Income Log'!$B$6:$B$105,$H24,'Income Log'!$A$6:$A$105,"&gt;="&amp;DATE($C$4,1,1),'Income Log'!$A$6:$A$105,"&lt;"&amp;DATE($C$4+1,1,1)))</f>
        <v/>
      </c>
    </row>
    <row r="25" customFormat="false" ht="15" hidden="false" customHeight="false" outlineLevel="0" collapsed="false">
      <c r="H25" s="46" t="str">
        <f aca="false">IF(Settings!A31="","",Settings!A31)</f>
        <v/>
      </c>
      <c r="I25" s="47" t="str">
        <f aca="false">IF($H25="","",SUMIFS('Income Log'!$E$6:$E$105,'Income Log'!$B$6:$B$105,$H25,'Income Log'!$A$6:$A$105,"&gt;="&amp;DATE($C$4,1,1),'Income Log'!$A$6:$A$105,"&lt;"&amp;DATE($C$4+1,1,1)))</f>
        <v/>
      </c>
    </row>
    <row r="26" customFormat="false" ht="15" hidden="false" customHeight="false" outlineLevel="0" collapsed="false">
      <c r="H26" s="46" t="str">
        <f aca="false">IF(Settings!A32="","",Settings!A32)</f>
        <v/>
      </c>
      <c r="I26" s="47" t="str">
        <f aca="false">IF($H26="","",SUMIFS('Income Log'!$E$6:$E$105,'Income Log'!$B$6:$B$105,$H26,'Income Log'!$A$6:$A$105,"&gt;="&amp;DATE($C$4,1,1),'Income Log'!$A$6:$A$105,"&lt;"&amp;DATE($C$4+1,1,1)))</f>
        <v/>
      </c>
    </row>
    <row r="27" customFormat="false" ht="15" hidden="false" customHeight="false" outlineLevel="0" collapsed="false">
      <c r="H27" s="46" t="str">
        <f aca="false">IF(Settings!A33="","",Settings!A33)</f>
        <v/>
      </c>
      <c r="I27" s="47" t="str">
        <f aca="false">IF($H27="","",SUMIFS('Income Log'!$E$6:$E$105,'Income Log'!$B$6:$B$105,$H27,'Income Log'!$A$6:$A$105,"&gt;="&amp;DATE($C$4,1,1),'Income Log'!$A$6:$A$105,"&lt;"&amp;DATE($C$4+1,1,1)))</f>
        <v/>
      </c>
    </row>
    <row r="28" customFormat="false" ht="15" hidden="false" customHeight="false" outlineLevel="0" collapsed="false">
      <c r="H28" s="46" t="str">
        <f aca="false">IF(Settings!A34="","",Settings!A34)</f>
        <v/>
      </c>
      <c r="I28" s="47" t="str">
        <f aca="false">IF($H28="","",SUMIFS('Income Log'!$E$6:$E$105,'Income Log'!$B$6:$B$105,$H28,'Income Log'!$A$6:$A$105,"&gt;="&amp;DATE($C$4,1,1),'Income Log'!$A$6:$A$105,"&lt;"&amp;DATE($C$4+1,1,1)))</f>
        <v/>
      </c>
    </row>
    <row r="29" customFormat="false" ht="15" hidden="false" customHeight="false" outlineLevel="0" collapsed="false">
      <c r="H29" s="46" t="str">
        <f aca="false">IF(Settings!A35="","",Settings!A35)</f>
        <v/>
      </c>
      <c r="I29" s="47" t="str">
        <f aca="false">IF($H29="","",SUMIFS('Income Log'!$E$6:$E$105,'Income Log'!$B$6:$B$105,$H29,'Income Log'!$A$6:$A$105,"&gt;="&amp;DATE($C$4,1,1),'Income Log'!$A$6:$A$105,"&lt;"&amp;DATE($C$4+1,1,1)))</f>
        <v/>
      </c>
    </row>
    <row r="30" customFormat="false" ht="15" hidden="false" customHeight="false" outlineLevel="0" collapsed="false">
      <c r="H30" s="46" t="str">
        <f aca="false">IF(Settings!A36="","",Settings!A36)</f>
        <v/>
      </c>
      <c r="I30" s="47" t="str">
        <f aca="false">IF($H30="","",SUMIFS('Income Log'!$E$6:$E$105,'Income Log'!$B$6:$B$105,$H30,'Income Log'!$A$6:$A$105,"&gt;="&amp;DATE($C$4,1,1),'Income Log'!$A$6:$A$105,"&lt;"&amp;DATE($C$4+1,1,1)))</f>
        <v/>
      </c>
    </row>
    <row r="31" customFormat="false" ht="15" hidden="false" customHeight="false" outlineLevel="0" collapsed="false">
      <c r="H31" s="46" t="str">
        <f aca="false">IF(Settings!A37="","",Settings!A37)</f>
        <v/>
      </c>
      <c r="I31" s="47" t="str">
        <f aca="false">IF($H31="","",SUMIFS('Income Log'!$E$6:$E$105,'Income Log'!$B$6:$B$105,$H31,'Income Log'!$A$6:$A$105,"&gt;="&amp;DATE($C$4,1,1),'Income Log'!$A$6:$A$105,"&lt;"&amp;DATE($C$4+1,1,1)))</f>
        <v/>
      </c>
    </row>
  </sheetData>
  <mergeCells count="10">
    <mergeCell ref="A1:L1"/>
    <mergeCell ref="A2:L2"/>
    <mergeCell ref="B6:C6"/>
    <mergeCell ref="E6:F6"/>
    <mergeCell ref="H6:I6"/>
    <mergeCell ref="K6:L6"/>
    <mergeCell ref="B7:C7"/>
    <mergeCell ref="E7:F7"/>
    <mergeCell ref="H7:I7"/>
    <mergeCell ref="K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2026-08-11T21:17:28Z</dcterms:created>
  <dc:creator>openpyxl</dc:creator>
  <dc:description/>
  <dc:language>en-US</dc:language>
  <cp:lastModifiedBy/>
  <dcterms:modified xsi:type="dcterms:W3CDTF">2026-08-11T21:18:39Z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