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Invoice" sheetId="3" state="visible" r:id="rId5"/>
    <sheet name="Income Log" sheetId="4" state="visible" r:id="rId6"/>
    <sheet name="Dashboard" sheetId="5" state="visible" r:id="rId7"/>
  </sheets>
  <definedNames>
    <definedName function="false" hidden="false" localSheetId="4" name="_xlnm.Print_Area" vbProcedure="false">Dashboard!$A$1:$M$58</definedName>
    <definedName function="false" hidden="false" localSheetId="3" name="_xlnm.Print_Area" vbProcedure="false">'Income Log'!$A$1:$G$40</definedName>
    <definedName function="false" hidden="false" localSheetId="2" name="_xlnm.Print_Area" vbProcedure="false">Invoice!$A$1:$D$35</definedName>
    <definedName function="false" hidden="false" localSheetId="1" name="_xlnm.Print_Area" vbProcedure="false">Settings!$A$1:$D$38</definedName>
    <definedName function="false" hidden="false" localSheetId="0" name="_xlnm.Print_Area" vbProcedure="false">'Start Here'!$A$1:$H$27</definedName>
    <definedName function="false" hidden="false" name="ClientList" vbProcedure="false">Settings!$A$18:$A$37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<sst xmlns="http://schemas.openxmlformats.org/spreadsheetml/2006/main" count="128" uniqueCount="112">
  <si>
    <t xml:space="preserve">Freelance Invoice + Income Tracker</t>
  </si>
  <si>
    <t xml:space="preserve">Send professional invoices and always know who owes you what.</t>
  </si>
  <si>
    <t xml:space="preserve">Welcome!</t>
  </si>
  <si>
    <t xml:space="preserve">This workbook gives you a fill-in invoice you can print or save as PDF, an income log, and a dashboard that tracks invoiced, collected, and outstanding money automatically.</t>
  </si>
  <si>
    <t xml:space="preserve">1.  Set up the Settings tab</t>
  </si>
  <si>
    <t xml:space="preserve">Add your business details, tax rate, payment terms, and your client list. The invoice and dropdowns pull from here.</t>
  </si>
  <si>
    <t xml:space="preserve">2.  Create an invoice</t>
  </si>
  <si>
    <t xml:space="preserve">On the Invoice tab, pick a client from the dropdown, add line items, then print or export to PDF (File &gt; Save As &gt; PDF).</t>
  </si>
  <si>
    <t xml:space="preserve">3.  Log it on the Income Log</t>
  </si>
  <si>
    <t xml:space="preserve">One row per invoice. Update the Status column when you get paid — the dashboard reads this table.</t>
  </si>
  <si>
    <t xml:space="preserve">4.  Watch the Dashboard</t>
  </si>
  <si>
    <t xml:space="preserve">Totals, monthly income chart, and per-client revenue update automatically. Set the year at the top.</t>
  </si>
  <si>
    <t xml:space="preserve">Color guide</t>
  </si>
  <si>
    <t xml:space="preserve">Light yellow cells = yours to fill in or change</t>
  </si>
  <si>
    <t xml:space="preserve">Grey / white cells = calculated automatically — no need to touch them</t>
  </si>
  <si>
    <t xml:space="preserve">Note: the file includes a few example rows so you can see how it works — just delete them and add your own.</t>
  </si>
  <si>
    <t xml:space="preserve">Works in Microsoft Excel (2016 or newer) and Google Sheets (upload to Drive, then Open with Google Sheets).</t>
  </si>
  <si>
    <t xml:space="preserve">Formulas are protected so you can't break anything by accident — every cell meant for typing is unlocked. To change anything else: Review → Unprotect Sheet (no password).</t>
  </si>
  <si>
    <t xml:space="preserve">Settings</t>
  </si>
  <si>
    <t xml:space="preserve">Your business info, invoice defaults, and client list. Yellow cells are yours to edit.</t>
  </si>
  <si>
    <t xml:space="preserve">YOUR BUSINESS</t>
  </si>
  <si>
    <t xml:space="preserve">Business / your name</t>
  </si>
  <si>
    <t xml:space="preserve">Alex Rivera Design</t>
  </si>
  <si>
    <t xml:space="preserve">Email</t>
  </si>
  <si>
    <t xml:space="preserve">alex@riveradesign.com</t>
  </si>
  <si>
    <t xml:space="preserve">Phone</t>
  </si>
  <si>
    <t xml:space="preserve">(555) 010-2266</t>
  </si>
  <si>
    <t xml:space="preserve">Address</t>
  </si>
  <si>
    <t xml:space="preserve">410 Maple Ave, Portland, OR</t>
  </si>
  <si>
    <t xml:space="preserve">Payment instructions</t>
  </si>
  <si>
    <t xml:space="preserve">Pay by bank transfer to a/c 0000-1111 or PayPal alex@riveradesign.com</t>
  </si>
  <si>
    <t xml:space="preserve">INVOICE DEFAULTS</t>
  </si>
  <si>
    <t xml:space="preserve">Tax / VAT rate</t>
  </si>
  <si>
    <t xml:space="preserve">Set to 0% if you don't charge tax.</t>
  </si>
  <si>
    <t xml:space="preserve">Invoice number prefix</t>
  </si>
  <si>
    <t xml:space="preserve">INV-</t>
  </si>
  <si>
    <t xml:space="preserve">Payment terms (days)</t>
  </si>
  <si>
    <t xml:space="preserve">Due date = invoice date + this many days.</t>
  </si>
  <si>
    <t xml:space="preserve">CLIENT LIST</t>
  </si>
  <si>
    <t xml:space="preserve">Clients you add here appear in dropdowns on the Invoice and Income Log.</t>
  </si>
  <si>
    <t xml:space="preserve">Client</t>
  </si>
  <si>
    <t xml:space="preserve">Company / notes</t>
  </si>
  <si>
    <t xml:space="preserve">Acme Studios</t>
  </si>
  <si>
    <t xml:space="preserve">billing@acmestudios.com</t>
  </si>
  <si>
    <t xml:space="preserve">Acme Studios LLC</t>
  </si>
  <si>
    <t xml:space="preserve">Beacon Coffee Co.</t>
  </si>
  <si>
    <t xml:space="preserve">maya@beaconcoffee.com</t>
  </si>
  <si>
    <t xml:space="preserve">Ask for Maya</t>
  </si>
  <si>
    <t xml:space="preserve">INVOICE</t>
  </si>
  <si>
    <t xml:space="preserve">BILL TO</t>
  </si>
  <si>
    <t xml:space="preserve">Invoice #</t>
  </si>
  <si>
    <t xml:space="preserve">INV-003</t>
  </si>
  <si>
    <t xml:space="preserve">Invoice date</t>
  </si>
  <si>
    <t xml:space="preserve">Due date</t>
  </si>
  <si>
    <t xml:space="preserve">Description</t>
  </si>
  <si>
    <t xml:space="preserve">Qty</t>
  </si>
  <si>
    <t xml:space="preserve">Rate</t>
  </si>
  <si>
    <t xml:space="preserve">Amount</t>
  </si>
  <si>
    <t xml:space="preserve">Monthly retainer — March</t>
  </si>
  <si>
    <t xml:space="preserve">Landing page copy revisions</t>
  </si>
  <si>
    <t xml:space="preserve">Subtotal</t>
  </si>
  <si>
    <t xml:space="preserve">Total due</t>
  </si>
  <si>
    <t xml:space="preserve">PAYMENT</t>
  </si>
  <si>
    <t xml:space="preserve">Thank you for your business!</t>
  </si>
  <si>
    <t xml:space="preserve">Income Log</t>
  </si>
  <si>
    <t xml:space="preserve">One row per invoice you send. The Dashboard reads this table automatically.</t>
  </si>
  <si>
    <t xml:space="preserve">Every cell in this table is yours to type in. Pick Client and Status from the dropdowns.</t>
  </si>
  <si>
    <t xml:space="preserve">Date</t>
  </si>
  <si>
    <t xml:space="preserve">Status</t>
  </si>
  <si>
    <t xml:space="preserve">Date paid</t>
  </si>
  <si>
    <t xml:space="preserve">INV-001</t>
  </si>
  <si>
    <t xml:space="preserve">Website design project</t>
  </si>
  <si>
    <t xml:space="preserve">Paid</t>
  </si>
  <si>
    <t xml:space="preserve">INV-002</t>
  </si>
  <si>
    <t xml:space="preserve">Brand refresh</t>
  </si>
  <si>
    <t xml:space="preserve">Sent</t>
  </si>
  <si>
    <t xml:space="preserve">Dashboard</t>
  </si>
  <si>
    <t xml:space="preserve">Your money at a glance. Everything here updates automatically from the Income Log.</t>
  </si>
  <si>
    <t xml:space="preserve">Year</t>
  </si>
  <si>
    <t xml:space="preserve">TOTAL INVOICED</t>
  </si>
  <si>
    <t xml:space="preserve">COLLECTED</t>
  </si>
  <si>
    <t xml:space="preserve">OUTSTANDING</t>
  </si>
  <si>
    <t xml:space="preserve">INVOICES SENT</t>
  </si>
  <si>
    <t xml:space="preserve">AVG DAYS TO PAY</t>
  </si>
  <si>
    <t xml:space="preserve">COLLECTION RATE</t>
  </si>
  <si>
    <t xml:space="preserve">AVG INVOICE</t>
  </si>
  <si>
    <t xml:space="preserve">OVERDUE AMOUNT</t>
  </si>
  <si>
    <t xml:space="preserve">Invoiced by month</t>
  </si>
  <si>
    <t xml:space="preserve">Revenue by client</t>
  </si>
  <si>
    <t xml:space="preserve">#</t>
  </si>
  <si>
    <t xml:space="preserve">Month</t>
  </si>
  <si>
    <t xml:space="preserve">Invoiced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</si>
  <si>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</si>
  <si>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</si>
  <si>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</si>
  <si>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</si>
  <si>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</si>
  <si>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</si>
  <si>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</si>
  <si>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</si>
  <si>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</si>
  <si>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</si>
  <si>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</si>
  <si>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</si>
  <si>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Quarter by quarter</t>
  </si>
  <si>
    <t xml:space="preserve">Quarter</t>
  </si>
  <si>
    <t xml:space="preserve">Collected</t>
  </si>
  <si>
    <t xml:space="preserve">Q1</t>
  </si>
  <si>
    <t xml:space="preserve">Q2</t>
  </si>
  <si>
    <t xml:space="preserve">Q3</t>
  </si>
  <si>
    <t xml:space="preserve">Q4</t>
  </si>
  <si>
    <t xml:space="preserve">INSIGHTS — written automatically from your numbers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</si>
</sst>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mm/dd/yyyy"/>
    <numFmt numFmtId="167" formatCode="\$#,##0.00"/>
    <numFmt numFmtId="168" formatCode="\$#,##0"/>
    <numFmt numFmtId="169" formatCode="0"/>
    <numFmt numFmtId="170" formatCode="0.0"/>
    <numFmt numFmtId="171" formatCode="\$#,##0;&quot;($&quot;#,##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E5E7EB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9"/>
      <color rgb="FF1F3A5F"/>
      <name val="Calibri"/>
      <family val="0"/>
      <charset val="1"/>
    </font>
    <font>
      <b val="true"/>
      <sz val="18"/>
      <color rgb="FF1F3A5F"/>
      <name val="Calibri"/>
      <family val="0"/>
      <charset val="1"/>
    </font>
    <font>
      <sz val="9"/>
      <color rgb="FF6B7280"/>
      <name val="Calibri"/>
      <family val="0"/>
      <charset val="1"/>
    </font>
    <font>
      <b val="true"/>
      <sz val="13"/>
      <color rgb="FF2E9E8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b val="true"/>
      <sz val="14"/>
      <color rgb="FF2E9E8F"/>
      <name val="Calibri"/>
      <family val="0"/>
      <charset val="1"/>
    </font>
    <font>
      <b val="true"/>
      <sz val="18"/>
      <color rgb="FF2E9E8F"/>
      <name val="Calibri"/>
      <family val="0"/>
      <charset val="1"/>
    </font>
    <font>
      <b val="true"/>
      <sz val="18"/>
      <color rgb="FFB3352C"/>
      <name val="Calibri"/>
      <family val="0"/>
      <charset val="1"/>
    </font>
    <font>
      <b val="true"/>
      <sz val="18"/>
      <color rgb="FF1F2937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1F2937"/>
      </patternFill>
    </fill>
    <fill>
      <patternFill patternType="solid">
        <fgColor rgb="FFF4F7FA"/>
        <bgColor rgb="FFF4F6FA"/>
      </patternFill>
    </fill>
    <fill>
      <patternFill patternType="solid">
        <fgColor rgb="FFFFF6DE"/>
        <bgColor rgb="FFFFF1D6"/>
      </patternFill>
    </fill>
    <fill>
      <patternFill patternType="solid">
        <fgColor rgb="FFF4F6FA"/>
        <bgColor rgb="FFF4F7FA"/>
      </patternFill>
    </fill>
    <fill>
      <patternFill patternType="solid">
        <fgColor rgb="FFFFFFFF"/>
        <bgColor rgb="FFF9FAFC"/>
      </patternFill>
    </fill>
    <fill>
      <patternFill patternType="solid">
        <fgColor rgb="FFF9FAFC"/>
        <bgColor rgb="FFF4F7FA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BEE"/>
      </bottom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/>
      <right/>
      <top style="thin">
        <color rgb="FFD8DEE9"/>
      </top>
      <bottom/>
      <diagonal/>
    </border>
    <border diagonalUp="false" diagonalDown="false">
      <left/>
      <right/>
      <top style="medium">
        <color rgb="FF1F3A5F"/>
      </top>
      <bottom/>
      <diagonal/>
    </border>
    <border diagonalUp="false" diagonalDown="false">
      <left/>
      <right/>
      <top/>
      <bottom style="thin">
        <color rgb="FFE3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5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6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1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F9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F3E4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1B7A46"/>
          <bgColor rgb="FF000000"/>
        </patternFill>
      </fill>
    </dxf>
    <dxf>
      <fill>
        <patternFill patternType="solid">
          <fgColor rgb="FF92600A"/>
          <bgColor rgb="FF000000"/>
        </patternFill>
      </fill>
    </dxf>
    <dxf>
      <font>
        <name val="Calibri"/>
        <charset val="1"/>
        <family val="0"/>
        <b val="1"/>
        <color rgb="FF1B7A46"/>
        <sz val="10"/>
      </font>
      <fill>
        <patternFill>
          <bgColor rgb="FFDCF3E4"/>
        </patternFill>
      </fill>
    </dxf>
    <dxf>
      <font>
        <name val="Calibri"/>
        <charset val="1"/>
        <family val="0"/>
        <b val="1"/>
        <color rgb="FF92600A"/>
        <sz val="10"/>
      </font>
      <fill>
        <patternFill>
          <bgColor rgb="FFFFF1D6"/>
        </patternFill>
      </fill>
    </dxf>
    <dxf>
      <font>
        <name val="Calibri"/>
        <charset val="1"/>
        <family val="0"/>
        <b val="1"/>
        <color rgb="FFB3352C"/>
        <sz val="10"/>
      </font>
      <fill>
        <patternFill>
          <bgColor rgb="FFFBE3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AFC"/>
      <rgbColor rgb="FFFF00FF"/>
      <rgbColor rgb="FF00FFFF"/>
      <rgbColor rgb="FF800000"/>
      <rgbColor rgb="FF008000"/>
      <rgbColor rgb="FF000080"/>
      <rgbColor rgb="FF92600A"/>
      <rgbColor rgb="FF800080"/>
      <rgbColor rgb="FF1B7A46"/>
      <rgbColor rgb="FFE5E7EB"/>
      <rgbColor rgb="FF878787"/>
      <rgbColor rgb="FF9999FF"/>
      <rgbColor rgb="FF993366"/>
      <rgbColor rgb="FFFFF6DE"/>
      <rgbColor rgb="FFE7EBEE"/>
      <rgbColor rgb="FF660066"/>
      <rgbColor rgb="FFFF8080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F0"/>
      <rgbColor rgb="FFDCF3E4"/>
      <rgbColor rgb="FFFFF1D6"/>
      <rgbColor rgb="FFE4E9E6"/>
      <rgbColor rgb="FFF4F6FA"/>
      <rgbColor rgb="FFF4F7FA"/>
      <rgbColor rgb="FFFBE3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2E9E8F"/>
      <rgbColor rgb="FF003300"/>
      <rgbColor rgb="FF333300"/>
      <rgbColor rgb="FFB3352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Invoiced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Dashboard!C14</c:f>
              <c:strCache>
                <c:ptCount val="1"/>
                <c:pt idx="0">
                  <c:v>Invoiced</c:v>
                </c:pt>
              </c:strCache>
            </c:strRef>
          </c:tx>
          <c:spPr>
            <a:solidFill>
              <a:srgbClr val="2e9e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Dashboard!$C$15:$C$26</c:f>
              <c:numCache>
                <c:formatCode>\$#,##0;"($"#,##0\);\-</c:formatCode>
                <c:ptCount val="12"/>
                <c:pt idx="0">
                  <c:v>1520</c:v>
                </c:pt>
                <c:pt idx="1">
                  <c:v>850</c:v>
                </c:pt>
                <c:pt idx="2">
                  <c:v>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1401090"/>
        <c:axId val="11740362"/>
      </c:barChart>
      <c:catAx>
        <c:axId val="114010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40362"/>
        <c:crosses val="autoZero"/>
        <c:auto val="1"/>
        <c:lblAlgn val="ctr"/>
        <c:lblOffset val="100"/>
        <c:noMultiLvlLbl val="0"/>
      </c:catAx>
      <c:valAx>
        <c:axId val="11740362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010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0</xdr:rowOff>
    </xdr:from>
    <xdr:to>
      <xdr:col>7</xdr:col>
      <xdr:colOff>747720</xdr:colOff>
      <xdr:row>55</xdr:row>
      <xdr:rowOff>18000</xdr:rowOff>
    </xdr:to>
    <xdr:graphicFrame>
      <xdr:nvGraphicFramePr>
        <xdr:cNvPr id="0" name="Chart 1"/>
        <xdr:cNvGraphicFramePr/>
      </xdr:nvGraphicFramePr>
      <xdr:xfrm>
        <a:off x="281880" y="9487080"/>
        <a:ext cx="53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comeLog" displayName="IncomeLog" ref="A5:G105" headerRowCount="1" totalsRowCount="0" totalsRowShown="0">
  <autoFilter ref="A5:G105"/>
  <tableColumns count="7">
    <tableColumn id="1" name="Date"/>
    <tableColumn id="2" name="Client"/>
    <tableColumn id="3" name="Invoice #"/>
    <tableColumn id="4" name="Description"/>
    <tableColumn id="5" name="Amount"/>
    <tableColumn id="6" name="Status"/>
    <tableColumn id="7" name="Date pa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4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true" outlineLevel="0" collapsed="false">
      <c r="A5" s="2"/>
      <c r="B5" s="5" t="s">
        <v>3</v>
      </c>
      <c r="C5" s="5"/>
      <c r="D5" s="5"/>
      <c r="E5" s="5"/>
      <c r="F5" s="5"/>
      <c r="G5" s="5"/>
      <c r="H5" s="5"/>
      <c r="I5" s="2"/>
      <c r="J5" s="2"/>
    </row>
    <row r="6" customFormat="false" ht="16.5" hidden="false" customHeight="false" outlineLevel="0" collapsed="false">
      <c r="A6" s="2"/>
      <c r="B6" s="5"/>
      <c r="C6" s="5"/>
      <c r="D6" s="5"/>
      <c r="E6" s="5"/>
      <c r="F6" s="5"/>
      <c r="G6" s="5"/>
      <c r="H6" s="5"/>
      <c r="I6" s="2"/>
      <c r="J6" s="2"/>
    </row>
    <row r="7" customFormat="false" ht="16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2"/>
      <c r="B8" s="6" t="s">
        <v>4</v>
      </c>
      <c r="C8" s="2"/>
      <c r="D8" s="2"/>
      <c r="E8" s="2"/>
      <c r="F8" s="2"/>
      <c r="G8" s="2"/>
      <c r="H8" s="2"/>
      <c r="I8" s="2"/>
      <c r="J8" s="2"/>
    </row>
    <row r="9" customFormat="false" ht="27.75" hidden="false" customHeight="true" outlineLevel="0" collapsed="false">
      <c r="A9" s="2"/>
      <c r="B9" s="2"/>
      <c r="C9" s="5" t="s">
        <v>5</v>
      </c>
      <c r="D9" s="5"/>
      <c r="E9" s="5"/>
      <c r="F9" s="5"/>
      <c r="G9" s="5"/>
      <c r="H9" s="5"/>
      <c r="I9" s="2"/>
      <c r="J9" s="2"/>
    </row>
    <row r="10" customFormat="false" ht="16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6" t="s">
        <v>6</v>
      </c>
      <c r="C11" s="2"/>
      <c r="D11" s="2"/>
      <c r="E11" s="2"/>
      <c r="F11" s="2"/>
      <c r="G11" s="2"/>
      <c r="H11" s="2"/>
      <c r="I11" s="2"/>
      <c r="J11" s="2"/>
    </row>
    <row r="12" customFormat="false" ht="27.75" hidden="false" customHeight="true" outlineLevel="0" collapsed="false">
      <c r="A12" s="2"/>
      <c r="B12" s="2"/>
      <c r="C12" s="5" t="s">
        <v>7</v>
      </c>
      <c r="D12" s="5"/>
      <c r="E12" s="5"/>
      <c r="F12" s="5"/>
      <c r="G12" s="5"/>
      <c r="H12" s="5"/>
      <c r="I12" s="2"/>
      <c r="J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6.5" hidden="false" customHeight="false" outlineLevel="0" collapsed="false">
      <c r="A14" s="2"/>
      <c r="B14" s="6" t="s">
        <v>8</v>
      </c>
      <c r="C14" s="2"/>
      <c r="D14" s="2"/>
      <c r="E14" s="2"/>
      <c r="F14" s="2"/>
      <c r="G14" s="2"/>
      <c r="H14" s="2"/>
      <c r="I14" s="2"/>
      <c r="J14" s="2"/>
    </row>
    <row r="15" customFormat="false" ht="27.75" hidden="false" customHeight="true" outlineLevel="0" collapsed="false">
      <c r="A15" s="2"/>
      <c r="B15" s="2"/>
      <c r="C15" s="5" t="s">
        <v>9</v>
      </c>
      <c r="D15" s="5"/>
      <c r="E15" s="5"/>
      <c r="F15" s="5"/>
      <c r="G15" s="5"/>
      <c r="H15" s="5"/>
      <c r="I15" s="2"/>
      <c r="J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2"/>
      <c r="B17" s="6" t="s">
        <v>10</v>
      </c>
      <c r="C17" s="2"/>
      <c r="D17" s="2"/>
      <c r="E17" s="2"/>
      <c r="F17" s="2"/>
      <c r="G17" s="2"/>
      <c r="H17" s="2"/>
      <c r="I17" s="2"/>
      <c r="J17" s="2"/>
    </row>
    <row r="18" customFormat="false" ht="27.75" hidden="false" customHeight="true" outlineLevel="0" collapsed="false">
      <c r="A18" s="2"/>
      <c r="B18" s="2"/>
      <c r="C18" s="5" t="s">
        <v>11</v>
      </c>
      <c r="D18" s="5"/>
      <c r="E18" s="5"/>
      <c r="F18" s="5"/>
      <c r="G18" s="5"/>
      <c r="H18" s="5"/>
      <c r="I18" s="2"/>
      <c r="J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2"/>
      <c r="B20" s="6" t="s">
        <v>12</v>
      </c>
      <c r="C20" s="2"/>
      <c r="D20" s="2"/>
      <c r="E20" s="2"/>
      <c r="F20" s="2"/>
      <c r="G20" s="2"/>
      <c r="H20" s="2"/>
      <c r="I20" s="2"/>
      <c r="J20" s="2"/>
    </row>
    <row r="21" customFormat="false" ht="16.5" hidden="false" customHeight="false" outlineLevel="0" collapsed="false">
      <c r="A21" s="2"/>
      <c r="B21" s="7"/>
      <c r="C21" s="8" t="s">
        <v>13</v>
      </c>
      <c r="D21" s="2"/>
      <c r="E21" s="2"/>
      <c r="F21" s="2"/>
      <c r="G21" s="2"/>
      <c r="H21" s="2"/>
      <c r="I21" s="2"/>
      <c r="J21" s="2"/>
    </row>
    <row r="22" customFormat="false" ht="16.5" hidden="false" customHeight="false" outlineLevel="0" collapsed="false">
      <c r="A22" s="2"/>
      <c r="B22" s="9"/>
      <c r="C22" s="8" t="s">
        <v>14</v>
      </c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6.5" hidden="false" customHeight="false" outlineLevel="0" collapsed="false">
      <c r="A24" s="2"/>
      <c r="B24" s="10" t="s">
        <v>15</v>
      </c>
      <c r="C24" s="2"/>
      <c r="D24" s="2"/>
      <c r="E24" s="2"/>
      <c r="F24" s="2"/>
      <c r="G24" s="2"/>
      <c r="H24" s="2"/>
      <c r="I24" s="2"/>
      <c r="J24" s="2"/>
    </row>
    <row r="25" customFormat="false" ht="16.5" hidden="false" customHeight="false" outlineLevel="0" collapsed="false">
      <c r="A25" s="2"/>
      <c r="B25" s="10" t="s">
        <v>16</v>
      </c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2"/>
      <c r="B26" s="10" t="s">
        <v>17</v>
      </c>
      <c r="C26" s="2"/>
      <c r="D26" s="2"/>
      <c r="E26" s="2"/>
      <c r="F26" s="2"/>
      <c r="G26" s="2"/>
      <c r="H26" s="2"/>
      <c r="I26" s="2"/>
      <c r="J26" s="2"/>
    </row>
    <row r="27" customFormat="false" ht="16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sheetProtection sheet="true" formatCells="false" formatColumns="false" formatRows="false"/>
  <mergeCells count="7">
    <mergeCell ref="A1:H1"/>
    <mergeCell ref="A2:H2"/>
    <mergeCell ref="B5:H6"/>
    <mergeCell ref="C9:H9"/>
    <mergeCell ref="C12:H12"/>
    <mergeCell ref="C15:H15"/>
    <mergeCell ref="C18:H18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"/>
    <col collapsed="false" customWidth="true" hidden="false" outlineLevel="0" max="8" min="6" style="0" width="14"/>
  </cols>
  <sheetData>
    <row r="1" customFormat="false" ht="25.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3" t="s">
        <v>19</v>
      </c>
      <c r="B2" s="3"/>
      <c r="C2" s="3"/>
      <c r="D2" s="3"/>
      <c r="E2" s="3"/>
      <c r="F2" s="3"/>
      <c r="G2" s="3"/>
      <c r="H2" s="3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6.5" hidden="false" customHeight="false" outlineLevel="0" collapsed="false">
      <c r="A4" s="11" t="s">
        <v>20</v>
      </c>
      <c r="B4" s="2"/>
      <c r="C4" s="2"/>
      <c r="D4" s="2"/>
      <c r="E4" s="2"/>
      <c r="F4" s="2"/>
      <c r="G4" s="2"/>
      <c r="H4" s="2"/>
    </row>
    <row r="5" customFormat="false" ht="16.5" hidden="false" customHeight="false" outlineLevel="0" collapsed="false">
      <c r="A5" s="8" t="s">
        <v>21</v>
      </c>
      <c r="B5" s="12" t="s">
        <v>22</v>
      </c>
      <c r="C5" s="2"/>
      <c r="D5" s="2"/>
      <c r="E5" s="2"/>
      <c r="F5" s="2"/>
      <c r="G5" s="2"/>
      <c r="H5" s="2"/>
    </row>
    <row r="6" customFormat="false" ht="16.5" hidden="false" customHeight="false" outlineLevel="0" collapsed="false">
      <c r="A6" s="8" t="s">
        <v>23</v>
      </c>
      <c r="B6" s="12" t="s">
        <v>24</v>
      </c>
      <c r="C6" s="2"/>
      <c r="D6" s="2"/>
      <c r="E6" s="2"/>
      <c r="F6" s="2"/>
      <c r="G6" s="2"/>
      <c r="H6" s="2"/>
    </row>
    <row r="7" customFormat="false" ht="16.5" hidden="false" customHeight="false" outlineLevel="0" collapsed="false">
      <c r="A7" s="8" t="s">
        <v>25</v>
      </c>
      <c r="B7" s="12" t="s">
        <v>26</v>
      </c>
      <c r="C7" s="2"/>
      <c r="D7" s="2"/>
      <c r="E7" s="2"/>
      <c r="F7" s="2"/>
      <c r="G7" s="2"/>
      <c r="H7" s="2"/>
    </row>
    <row r="8" customFormat="false" ht="16.5" hidden="false" customHeight="false" outlineLevel="0" collapsed="false">
      <c r="A8" s="8" t="s">
        <v>27</v>
      </c>
      <c r="B8" s="12" t="s">
        <v>28</v>
      </c>
      <c r="C8" s="2"/>
      <c r="D8" s="2"/>
      <c r="E8" s="2"/>
      <c r="F8" s="2"/>
      <c r="G8" s="2"/>
      <c r="H8" s="2"/>
    </row>
    <row r="9" customFormat="false" ht="23.85" hidden="false" customHeight="false" outlineLevel="0" collapsed="false">
      <c r="A9" s="8" t="s">
        <v>29</v>
      </c>
      <c r="B9" s="13" t="s">
        <v>30</v>
      </c>
      <c r="C9" s="2"/>
      <c r="D9" s="2"/>
      <c r="E9" s="2"/>
      <c r="F9" s="2"/>
      <c r="G9" s="2"/>
      <c r="H9" s="2"/>
    </row>
    <row r="10" customFormat="false" ht="16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6.5" hidden="false" customHeight="false" outlineLevel="0" collapsed="false">
      <c r="A11" s="11" t="s">
        <v>31</v>
      </c>
      <c r="B11" s="2"/>
      <c r="C11" s="2"/>
      <c r="D11" s="2"/>
      <c r="E11" s="2"/>
      <c r="F11" s="2"/>
      <c r="G11" s="2"/>
      <c r="H11" s="2"/>
    </row>
    <row r="12" customFormat="false" ht="16.5" hidden="false" customHeight="false" outlineLevel="0" collapsed="false">
      <c r="A12" s="8" t="s">
        <v>32</v>
      </c>
      <c r="B12" s="14" t="n">
        <v>0.085</v>
      </c>
      <c r="C12" s="15" t="s">
        <v>33</v>
      </c>
      <c r="D12" s="2"/>
      <c r="E12" s="2"/>
      <c r="F12" s="2"/>
      <c r="G12" s="2"/>
      <c r="H12" s="2"/>
    </row>
    <row r="13" customFormat="false" ht="16.5" hidden="false" customHeight="false" outlineLevel="0" collapsed="false">
      <c r="A13" s="8" t="s">
        <v>34</v>
      </c>
      <c r="B13" s="12" t="s">
        <v>35</v>
      </c>
      <c r="C13" s="2"/>
      <c r="D13" s="2"/>
      <c r="E13" s="2"/>
      <c r="F13" s="2"/>
      <c r="G13" s="2"/>
      <c r="H13" s="2"/>
    </row>
    <row r="14" customFormat="false" ht="16.5" hidden="false" customHeight="false" outlineLevel="0" collapsed="false">
      <c r="A14" s="8" t="s">
        <v>36</v>
      </c>
      <c r="B14" s="12" t="n">
        <v>14</v>
      </c>
      <c r="C14" s="15" t="s">
        <v>37</v>
      </c>
      <c r="D14" s="2"/>
      <c r="E14" s="2"/>
      <c r="F14" s="2"/>
      <c r="G14" s="2"/>
      <c r="H14" s="2"/>
    </row>
    <row r="15" customFormat="false" ht="16.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6.5" hidden="false" customHeight="false" outlineLevel="0" collapsed="false">
      <c r="A16" s="11" t="s">
        <v>38</v>
      </c>
      <c r="B16" s="2"/>
      <c r="C16" s="2"/>
      <c r="D16" s="15" t="s">
        <v>39</v>
      </c>
      <c r="E16" s="2"/>
      <c r="F16" s="2"/>
      <c r="G16" s="2"/>
      <c r="H16" s="2"/>
    </row>
    <row r="17" customFormat="false" ht="21.75" hidden="false" customHeight="true" outlineLevel="0" collapsed="false">
      <c r="A17" s="16" t="s">
        <v>40</v>
      </c>
      <c r="B17" s="16" t="s">
        <v>23</v>
      </c>
      <c r="C17" s="16" t="s">
        <v>41</v>
      </c>
      <c r="D17" s="2"/>
      <c r="E17" s="2"/>
      <c r="F17" s="2"/>
      <c r="G17" s="2"/>
      <c r="H17" s="2"/>
    </row>
    <row r="18" customFormat="false" ht="16.5" hidden="false" customHeight="false" outlineLevel="0" collapsed="false">
      <c r="A18" s="12" t="s">
        <v>42</v>
      </c>
      <c r="B18" s="12" t="s">
        <v>43</v>
      </c>
      <c r="C18" s="12" t="s">
        <v>44</v>
      </c>
      <c r="D18" s="2"/>
      <c r="E18" s="2"/>
      <c r="F18" s="2"/>
      <c r="G18" s="2"/>
      <c r="H18" s="2"/>
    </row>
    <row r="19" customFormat="false" ht="16.5" hidden="false" customHeight="false" outlineLevel="0" collapsed="false">
      <c r="A19" s="12" t="s">
        <v>45</v>
      </c>
      <c r="B19" s="12" t="s">
        <v>46</v>
      </c>
      <c r="C19" s="12" t="s">
        <v>47</v>
      </c>
      <c r="D19" s="2"/>
      <c r="E19" s="2"/>
      <c r="F19" s="2"/>
      <c r="G19" s="2"/>
      <c r="H19" s="2"/>
    </row>
    <row r="20" customFormat="false" ht="16.5" hidden="false" customHeight="false" outlineLevel="0" collapsed="false">
      <c r="A20" s="12"/>
      <c r="B20" s="12"/>
      <c r="C20" s="12"/>
      <c r="D20" s="2"/>
      <c r="E20" s="2"/>
      <c r="F20" s="2"/>
      <c r="G20" s="2"/>
      <c r="H20" s="2"/>
    </row>
    <row r="21" customFormat="false" ht="16.5" hidden="false" customHeight="false" outlineLevel="0" collapsed="false">
      <c r="A21" s="12"/>
      <c r="B21" s="12"/>
      <c r="C21" s="12"/>
      <c r="D21" s="2"/>
      <c r="E21" s="2"/>
      <c r="F21" s="2"/>
      <c r="G21" s="2"/>
      <c r="H21" s="2"/>
    </row>
    <row r="22" customFormat="false" ht="16.5" hidden="false" customHeight="false" outlineLevel="0" collapsed="false">
      <c r="A22" s="12"/>
      <c r="B22" s="12"/>
      <c r="C22" s="12"/>
      <c r="D22" s="2"/>
      <c r="E22" s="2"/>
      <c r="F22" s="2"/>
      <c r="G22" s="2"/>
      <c r="H22" s="2"/>
    </row>
    <row r="23" customFormat="false" ht="16.5" hidden="false" customHeight="false" outlineLevel="0" collapsed="false">
      <c r="A23" s="12"/>
      <c r="B23" s="12"/>
      <c r="C23" s="12"/>
      <c r="D23" s="2"/>
      <c r="E23" s="2"/>
      <c r="F23" s="2"/>
      <c r="G23" s="2"/>
      <c r="H23" s="2"/>
    </row>
    <row r="24" customFormat="false" ht="16.5" hidden="false" customHeight="false" outlineLevel="0" collapsed="false">
      <c r="A24" s="12"/>
      <c r="B24" s="12"/>
      <c r="C24" s="12"/>
      <c r="D24" s="2"/>
      <c r="E24" s="2"/>
      <c r="F24" s="2"/>
      <c r="G24" s="2"/>
      <c r="H24" s="2"/>
    </row>
    <row r="25" customFormat="false" ht="16.5" hidden="false" customHeight="false" outlineLevel="0" collapsed="false">
      <c r="A25" s="12"/>
      <c r="B25" s="12"/>
      <c r="C25" s="12"/>
      <c r="D25" s="2"/>
      <c r="E25" s="2"/>
      <c r="F25" s="2"/>
      <c r="G25" s="2"/>
      <c r="H25" s="2"/>
    </row>
    <row r="26" customFormat="false" ht="16.5" hidden="false" customHeight="false" outlineLevel="0" collapsed="false">
      <c r="A26" s="12"/>
      <c r="B26" s="12"/>
      <c r="C26" s="12"/>
      <c r="D26" s="2"/>
      <c r="E26" s="2"/>
      <c r="F26" s="2"/>
      <c r="G26" s="2"/>
      <c r="H26" s="2"/>
    </row>
    <row r="27" customFormat="false" ht="16.5" hidden="false" customHeight="false" outlineLevel="0" collapsed="false">
      <c r="A27" s="12"/>
      <c r="B27" s="12"/>
      <c r="C27" s="12"/>
      <c r="D27" s="2"/>
      <c r="E27" s="2"/>
      <c r="F27" s="2"/>
      <c r="G27" s="2"/>
      <c r="H27" s="2"/>
    </row>
    <row r="28" customFormat="false" ht="16.5" hidden="false" customHeight="false" outlineLevel="0" collapsed="false">
      <c r="A28" s="12"/>
      <c r="B28" s="12"/>
      <c r="C28" s="12"/>
      <c r="D28" s="2"/>
      <c r="E28" s="2"/>
      <c r="F28" s="2"/>
      <c r="G28" s="2"/>
      <c r="H28" s="2"/>
    </row>
    <row r="29" customFormat="false" ht="16.5" hidden="false" customHeight="false" outlineLevel="0" collapsed="false">
      <c r="A29" s="12"/>
      <c r="B29" s="12"/>
      <c r="C29" s="12"/>
      <c r="D29" s="2"/>
      <c r="E29" s="2"/>
      <c r="F29" s="2"/>
      <c r="G29" s="2"/>
      <c r="H29" s="2"/>
    </row>
    <row r="30" customFormat="false" ht="16.5" hidden="false" customHeight="false" outlineLevel="0" collapsed="false">
      <c r="A30" s="12"/>
      <c r="B30" s="12"/>
      <c r="C30" s="12"/>
      <c r="D30" s="2"/>
      <c r="E30" s="2"/>
      <c r="F30" s="2"/>
      <c r="G30" s="2"/>
      <c r="H30" s="2"/>
    </row>
    <row r="31" customFormat="false" ht="16.5" hidden="false" customHeight="false" outlineLevel="0" collapsed="false">
      <c r="A31" s="12"/>
      <c r="B31" s="12"/>
      <c r="C31" s="12"/>
      <c r="D31" s="2"/>
      <c r="E31" s="2"/>
      <c r="F31" s="2"/>
      <c r="G31" s="2"/>
      <c r="H31" s="2"/>
    </row>
    <row r="32" customFormat="false" ht="16.5" hidden="false" customHeight="false" outlineLevel="0" collapsed="false">
      <c r="A32" s="12"/>
      <c r="B32" s="12"/>
      <c r="C32" s="12"/>
      <c r="D32" s="2"/>
      <c r="E32" s="2"/>
      <c r="F32" s="2"/>
      <c r="G32" s="2"/>
      <c r="H32" s="2"/>
    </row>
    <row r="33" customFormat="false" ht="16.5" hidden="false" customHeight="false" outlineLevel="0" collapsed="false">
      <c r="A33" s="12"/>
      <c r="B33" s="12"/>
      <c r="C33" s="12"/>
      <c r="D33" s="2"/>
      <c r="E33" s="2"/>
      <c r="F33" s="2"/>
      <c r="G33" s="2"/>
      <c r="H33" s="2"/>
    </row>
    <row r="34" customFormat="false" ht="16.5" hidden="false" customHeight="false" outlineLevel="0" collapsed="false">
      <c r="A34" s="12"/>
      <c r="B34" s="12"/>
      <c r="C34" s="12"/>
      <c r="D34" s="2"/>
      <c r="E34" s="2"/>
      <c r="F34" s="2"/>
      <c r="G34" s="2"/>
      <c r="H34" s="2"/>
    </row>
    <row r="35" customFormat="false" ht="16.5" hidden="false" customHeight="false" outlineLevel="0" collapsed="false">
      <c r="A35" s="12"/>
      <c r="B35" s="12"/>
      <c r="C35" s="12"/>
      <c r="D35" s="2"/>
      <c r="E35" s="2"/>
      <c r="F35" s="2"/>
      <c r="G35" s="2"/>
      <c r="H35" s="2"/>
    </row>
    <row r="36" customFormat="false" ht="16.5" hidden="false" customHeight="false" outlineLevel="0" collapsed="false">
      <c r="A36" s="12"/>
      <c r="B36" s="12"/>
      <c r="C36" s="12"/>
      <c r="D36" s="2"/>
      <c r="E36" s="2"/>
      <c r="F36" s="2"/>
      <c r="G36" s="2"/>
      <c r="H36" s="2"/>
    </row>
    <row r="37" customFormat="false" ht="16.5" hidden="false" customHeight="false" outlineLevel="0" collapsed="false">
      <c r="A37" s="12"/>
      <c r="B37" s="12"/>
      <c r="C37" s="12"/>
      <c r="D37" s="2"/>
      <c r="E37" s="2"/>
      <c r="F37" s="2"/>
      <c r="G37" s="2"/>
      <c r="H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</sheetData>
  <sheetProtection sheet="true" formatCells="false" formatColumns="false" formatRows="false"/>
  <mergeCells count="2">
    <mergeCell ref="A1:H1"/>
    <mergeCell ref="A2:H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30" hidden="false" customHeight="true" outlineLevel="0" collapsed="false">
      <c r="A1" s="17" t="str">
        <f aca="false">IF(Settings!B5="","Your Business Name",Settings!B5)</f>
        <v>Alex Rivera Design</v>
      </c>
      <c r="B1" s="17"/>
      <c r="C1" s="17"/>
      <c r="D1" s="17"/>
    </row>
    <row r="2" customFormat="false" ht="16.5" hidden="false" customHeight="false" outlineLevel="0" collapsed="false">
      <c r="A2" s="18" t="str">
        <f aca="false">IF(Settings!B6="","",Settings!B6&amp;"   ·   "&amp;Settings!B7)</f>
        <v>alex@riveradesign.com   ·   (555) 010-2266</v>
      </c>
      <c r="B2" s="18"/>
      <c r="C2" s="18"/>
      <c r="D2" s="18"/>
    </row>
    <row r="3" customFormat="false" ht="16.5" hidden="false" customHeight="false" outlineLevel="0" collapsed="false">
      <c r="A3" s="18" t="str">
        <f aca="false">IF(Settings!B8="","",Settings!B8)</f>
        <v>410 Maple Ave, Portland, OR</v>
      </c>
      <c r="B3" s="18"/>
      <c r="C3" s="18"/>
      <c r="D3" s="18"/>
    </row>
    <row r="5" customFormat="false" ht="21.75" hidden="false" customHeight="true" outlineLevel="0" collapsed="false">
      <c r="A5" s="19" t="s">
        <v>48</v>
      </c>
      <c r="B5" s="19"/>
      <c r="C5" s="19"/>
      <c r="D5" s="19"/>
    </row>
    <row r="7" customFormat="false" ht="16.5" hidden="false" customHeight="false" outlineLevel="0" collapsed="false">
      <c r="A7" s="20" t="s">
        <v>49</v>
      </c>
      <c r="C7" s="20" t="s">
        <v>50</v>
      </c>
      <c r="D7" s="12" t="s">
        <v>51</v>
      </c>
    </row>
    <row r="8" customFormat="false" ht="16.5" hidden="false" customHeight="false" outlineLevel="0" collapsed="false">
      <c r="A8" s="21" t="s">
        <v>42</v>
      </c>
      <c r="C8" s="20" t="s">
        <v>52</v>
      </c>
      <c r="D8" s="22" t="n">
        <v>46083</v>
      </c>
    </row>
    <row r="9" customFormat="false" ht="16.5" hidden="false" customHeight="false" outlineLevel="0" collapsed="false">
      <c r="A9" s="23" t="str">
        <f aca="false">IFERROR(INDEX(Settings!$B$18:$B$37,MATCH($A$8,Settings!$A$18:$A$37,0)),"")</f>
        <v>billing@acmestudios.com</v>
      </c>
      <c r="C9" s="20" t="s">
        <v>53</v>
      </c>
      <c r="D9" s="24" t="n">
        <f aca="false">IF($D$8="","",$D$8+Settings!$B$14)</f>
        <v>46097</v>
      </c>
    </row>
    <row r="10" customFormat="false" ht="16.5" hidden="false" customHeight="false" outlineLevel="0" collapsed="false">
      <c r="A10" s="23" t="str">
        <f aca="false">IFERROR(INDEX(Settings!$C$18:$C$37,MATCH($A$8,Settings!$A$18:$A$37,0)),"")</f>
        <v>Acme Studios LLC</v>
      </c>
    </row>
    <row r="12" customFormat="false" ht="21.75" hidden="false" customHeight="true" outlineLevel="0" collapsed="false">
      <c r="A12" s="25" t="s">
        <v>54</v>
      </c>
      <c r="B12" s="25" t="s">
        <v>55</v>
      </c>
      <c r="C12" s="25" t="s">
        <v>56</v>
      </c>
      <c r="D12" s="25" t="s">
        <v>57</v>
      </c>
    </row>
    <row r="13" customFormat="false" ht="16.5" hidden="false" customHeight="false" outlineLevel="0" collapsed="false">
      <c r="A13" s="12" t="s">
        <v>58</v>
      </c>
      <c r="B13" s="12" t="n">
        <v>1</v>
      </c>
      <c r="C13" s="26" t="n">
        <v>600</v>
      </c>
      <c r="D13" s="27" t="n">
        <f aca="false">IF(OR($B13="",$C13=""),"",ROUND($B13*$C13,2))</f>
        <v>600</v>
      </c>
    </row>
    <row r="14" customFormat="false" ht="16.5" hidden="false" customHeight="false" outlineLevel="0" collapsed="false">
      <c r="A14" s="12" t="s">
        <v>59</v>
      </c>
      <c r="B14" s="12" t="n">
        <v>2</v>
      </c>
      <c r="C14" s="26" t="n">
        <v>80</v>
      </c>
      <c r="D14" s="27" t="n">
        <f aca="false">IF(OR($B14="",$C14=""),"",ROUND($B14*$C14,2))</f>
        <v>160</v>
      </c>
    </row>
    <row r="15" customFormat="false" ht="16.5" hidden="false" customHeight="false" outlineLevel="0" collapsed="false">
      <c r="A15" s="12"/>
      <c r="B15" s="12"/>
      <c r="C15" s="26"/>
      <c r="D15" s="27" t="str">
        <f aca="false">IF(OR($B15="",$C15=""),"",ROUND($B15*$C15,2))</f>
        <v/>
      </c>
    </row>
    <row r="16" customFormat="false" ht="16.5" hidden="false" customHeight="false" outlineLevel="0" collapsed="false">
      <c r="A16" s="12"/>
      <c r="B16" s="12"/>
      <c r="C16" s="26"/>
      <c r="D16" s="27" t="str">
        <f aca="false">IF(OR($B16="",$C16=""),"",ROUND($B16*$C16,2))</f>
        <v/>
      </c>
    </row>
    <row r="17" customFormat="false" ht="16.5" hidden="false" customHeight="false" outlineLevel="0" collapsed="false">
      <c r="A17" s="12"/>
      <c r="B17" s="12"/>
      <c r="C17" s="26"/>
      <c r="D17" s="27" t="str">
        <f aca="false">IF(OR($B17="",$C17=""),"",ROUND($B17*$C17,2))</f>
        <v/>
      </c>
    </row>
    <row r="18" customFormat="false" ht="16.5" hidden="false" customHeight="false" outlineLevel="0" collapsed="false">
      <c r="A18" s="12"/>
      <c r="B18" s="12"/>
      <c r="C18" s="26"/>
      <c r="D18" s="27" t="str">
        <f aca="false">IF(OR($B18="",$C18=""),"",ROUND($B18*$C18,2))</f>
        <v/>
      </c>
    </row>
    <row r="19" customFormat="false" ht="16.5" hidden="false" customHeight="false" outlineLevel="0" collapsed="false">
      <c r="A19" s="12"/>
      <c r="B19" s="12"/>
      <c r="C19" s="26"/>
      <c r="D19" s="27" t="str">
        <f aca="false">IF(OR($B19="",$C19=""),"",ROUND($B19*$C19,2))</f>
        <v/>
      </c>
    </row>
    <row r="20" customFormat="false" ht="16.5" hidden="false" customHeight="false" outlineLevel="0" collapsed="false">
      <c r="A20" s="12"/>
      <c r="B20" s="12"/>
      <c r="C20" s="26"/>
      <c r="D20" s="27" t="str">
        <f aca="false">IF(OR($B20="",$C20=""),"",ROUND($B20*$C20,2))</f>
        <v/>
      </c>
    </row>
    <row r="21" customFormat="false" ht="16.5" hidden="false" customHeight="false" outlineLevel="0" collapsed="false">
      <c r="A21" s="12"/>
      <c r="B21" s="12"/>
      <c r="C21" s="26"/>
      <c r="D21" s="27" t="str">
        <f aca="false">IF(OR($B21="",$C21=""),"",ROUND($B21*$C21,2))</f>
        <v/>
      </c>
    </row>
    <row r="22" customFormat="false" ht="16.5" hidden="false" customHeight="false" outlineLevel="0" collapsed="false">
      <c r="A22" s="12"/>
      <c r="B22" s="12"/>
      <c r="C22" s="26"/>
      <c r="D22" s="27" t="str">
        <f aca="false">IF(OR($B22="",$C22=""),"",ROUND($B22*$C22,2))</f>
        <v/>
      </c>
    </row>
    <row r="23" customFormat="false" ht="16.5" hidden="false" customHeight="false" outlineLevel="0" collapsed="false">
      <c r="A23" s="12"/>
      <c r="B23" s="12"/>
      <c r="C23" s="26"/>
      <c r="D23" s="27" t="str">
        <f aca="false">IF(OR($B23="",$C23=""),"",ROUND($B23*$C23,2))</f>
        <v/>
      </c>
    </row>
    <row r="24" customFormat="false" ht="16.5" hidden="false" customHeight="false" outlineLevel="0" collapsed="false">
      <c r="A24" s="12"/>
      <c r="B24" s="12"/>
      <c r="C24" s="26"/>
      <c r="D24" s="27" t="str">
        <f aca="false">IF(OR($B24="",$C24=""),"",ROUND($B24*$C24,2))</f>
        <v/>
      </c>
    </row>
    <row r="26" customFormat="false" ht="16.5" hidden="false" customHeight="false" outlineLevel="0" collapsed="false">
      <c r="C26" s="28" t="s">
        <v>60</v>
      </c>
      <c r="D26" s="29" t="n">
        <f aca="false">SUM(D13:D24)</f>
        <v>760</v>
      </c>
    </row>
    <row r="27" customFormat="false" ht="16.5" hidden="false" customHeight="false" outlineLevel="0" collapsed="false">
      <c r="C27" s="30" t="str">
        <f aca="false">"Tax ("&amp;TEXT(Settings!$B$12,"0.0%")&amp;")"</f>
        <v>Tax (8.5%)</v>
      </c>
      <c r="D27" s="31" t="n">
        <f aca="false">ROUND(D26*Settings!$B$12,2)</f>
        <v>64.6</v>
      </c>
    </row>
    <row r="28" customFormat="false" ht="17.35" hidden="false" customHeight="false" outlineLevel="0" collapsed="false">
      <c r="C28" s="32" t="s">
        <v>61</v>
      </c>
      <c r="D28" s="33" t="n">
        <f aca="false">D26+D27</f>
        <v>824.6</v>
      </c>
    </row>
    <row r="31" customFormat="false" ht="16.5" hidden="false" customHeight="false" outlineLevel="0" collapsed="false">
      <c r="A31" s="20" t="s">
        <v>62</v>
      </c>
    </row>
    <row r="32" customFormat="false" ht="16.5" hidden="false" customHeight="false" outlineLevel="0" collapsed="false">
      <c r="A32" s="34" t="str">
        <f aca="false">IF(Settings!B9="","",Settings!B9)</f>
        <v>Pay by bank transfer to a/c 0000-1111 or PayPal alex@riveradesign.com</v>
      </c>
      <c r="B32" s="34"/>
      <c r="C32" s="34"/>
      <c r="D32" s="34"/>
    </row>
    <row r="34" customFormat="false" ht="16.5" hidden="false" customHeight="false" outlineLevel="0" collapsed="false">
      <c r="A34" s="35" t="s">
        <v>63</v>
      </c>
      <c r="B34" s="35"/>
      <c r="C34" s="35"/>
      <c r="D34" s="35"/>
    </row>
  </sheetData>
  <sheetProtection sheet="true" formatCells="false" formatColumns="false" formatRows="false"/>
  <mergeCells count="6">
    <mergeCell ref="A1:D1"/>
    <mergeCell ref="A2:D2"/>
    <mergeCell ref="A3:D3"/>
    <mergeCell ref="A5:D5"/>
    <mergeCell ref="A32:D32"/>
    <mergeCell ref="A34:D34"/>
  </mergeCells>
  <dataValidations count="1">
    <dataValidation allowBlank="true" errorStyle="stop" operator="between" showDropDown="false" showErrorMessage="false" showInputMessage="false" sqref="A8" type="list">
      <formula1>ClientList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"/>
  </cols>
  <sheetData>
    <row r="1" customFormat="false" ht="25.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3" t="s">
        <v>65</v>
      </c>
      <c r="B2" s="3"/>
      <c r="C2" s="3"/>
      <c r="D2" s="3"/>
      <c r="E2" s="3"/>
      <c r="F2" s="3"/>
      <c r="G2" s="3"/>
      <c r="H2" s="3"/>
    </row>
    <row r="4" customFormat="false" ht="16.5" hidden="false" customHeight="false" outlineLevel="0" collapsed="false">
      <c r="A4" s="36" t="s">
        <v>66</v>
      </c>
    </row>
    <row r="5" customFormat="false" ht="21.75" hidden="false" customHeight="true" outlineLevel="0" collapsed="false">
      <c r="A5" s="25" t="s">
        <v>67</v>
      </c>
      <c r="B5" s="25" t="s">
        <v>40</v>
      </c>
      <c r="C5" s="25" t="s">
        <v>50</v>
      </c>
      <c r="D5" s="25" t="s">
        <v>54</v>
      </c>
      <c r="E5" s="25" t="s">
        <v>57</v>
      </c>
      <c r="F5" s="25" t="s">
        <v>68</v>
      </c>
      <c r="G5" s="25" t="s">
        <v>69</v>
      </c>
    </row>
    <row r="6" customFormat="false" ht="16.5" hidden="false" customHeight="false" outlineLevel="0" collapsed="false">
      <c r="A6" s="37" t="n">
        <v>46034</v>
      </c>
      <c r="B6" s="38" t="s">
        <v>42</v>
      </c>
      <c r="C6" s="38" t="s">
        <v>70</v>
      </c>
      <c r="D6" s="38" t="s">
        <v>71</v>
      </c>
      <c r="E6" s="39" t="n">
        <v>1520</v>
      </c>
      <c r="F6" s="38" t="s">
        <v>72</v>
      </c>
      <c r="G6" s="37" t="n">
        <v>46042</v>
      </c>
    </row>
    <row r="7" customFormat="false" ht="16.5" hidden="false" customHeight="false" outlineLevel="0" collapsed="false">
      <c r="A7" s="40" t="n">
        <v>46056</v>
      </c>
      <c r="B7" s="41" t="s">
        <v>45</v>
      </c>
      <c r="C7" s="41" t="s">
        <v>73</v>
      </c>
      <c r="D7" s="41" t="s">
        <v>74</v>
      </c>
      <c r="E7" s="42" t="n">
        <v>850</v>
      </c>
      <c r="F7" s="41" t="s">
        <v>72</v>
      </c>
      <c r="G7" s="40" t="n">
        <v>46068</v>
      </c>
    </row>
    <row r="8" customFormat="false" ht="16.5" hidden="false" customHeight="false" outlineLevel="0" collapsed="false">
      <c r="A8" s="37" t="n">
        <v>46083</v>
      </c>
      <c r="B8" s="38" t="s">
        <v>42</v>
      </c>
      <c r="C8" s="38" t="s">
        <v>51</v>
      </c>
      <c r="D8" s="38" t="s">
        <v>58</v>
      </c>
      <c r="E8" s="39" t="n">
        <v>600</v>
      </c>
      <c r="F8" s="38" t="s">
        <v>75</v>
      </c>
      <c r="G8" s="37"/>
    </row>
    <row r="9" customFormat="false" ht="16.5" hidden="false" customHeight="false" outlineLevel="0" collapsed="false">
      <c r="A9" s="40"/>
      <c r="B9" s="41"/>
      <c r="C9" s="41"/>
      <c r="D9" s="41"/>
      <c r="E9" s="42"/>
      <c r="F9" s="41"/>
      <c r="G9" s="40"/>
    </row>
    <row r="10" customFormat="false" ht="16.5" hidden="false" customHeight="false" outlineLevel="0" collapsed="false">
      <c r="A10" s="37"/>
      <c r="B10" s="38"/>
      <c r="C10" s="38"/>
      <c r="D10" s="38"/>
      <c r="E10" s="39"/>
      <c r="F10" s="38"/>
      <c r="G10" s="37"/>
    </row>
    <row r="11" customFormat="false" ht="16.5" hidden="false" customHeight="false" outlineLevel="0" collapsed="false">
      <c r="A11" s="40"/>
      <c r="B11" s="41"/>
      <c r="C11" s="41"/>
      <c r="D11" s="41"/>
      <c r="E11" s="42"/>
      <c r="F11" s="41"/>
      <c r="G11" s="40"/>
    </row>
    <row r="12" customFormat="false" ht="16.5" hidden="false" customHeight="false" outlineLevel="0" collapsed="false">
      <c r="A12" s="37"/>
      <c r="B12" s="38"/>
      <c r="C12" s="38"/>
      <c r="D12" s="38"/>
      <c r="E12" s="39"/>
      <c r="F12" s="38"/>
      <c r="G12" s="37"/>
    </row>
    <row r="13" customFormat="false" ht="16.5" hidden="false" customHeight="false" outlineLevel="0" collapsed="false">
      <c r="A13" s="40"/>
      <c r="B13" s="41"/>
      <c r="C13" s="41"/>
      <c r="D13" s="41"/>
      <c r="E13" s="42"/>
      <c r="F13" s="41"/>
      <c r="G13" s="40"/>
    </row>
    <row r="14" customFormat="false" ht="16.5" hidden="false" customHeight="false" outlineLevel="0" collapsed="false">
      <c r="A14" s="37"/>
      <c r="B14" s="38"/>
      <c r="C14" s="38"/>
      <c r="D14" s="38"/>
      <c r="E14" s="39"/>
      <c r="F14" s="38"/>
      <c r="G14" s="37"/>
    </row>
    <row r="15" customFormat="false" ht="16.5" hidden="false" customHeight="false" outlineLevel="0" collapsed="false">
      <c r="A15" s="40"/>
      <c r="B15" s="41"/>
      <c r="C15" s="41"/>
      <c r="D15" s="41"/>
      <c r="E15" s="42"/>
      <c r="F15" s="41"/>
      <c r="G15" s="40"/>
    </row>
    <row r="16" customFormat="false" ht="16.5" hidden="false" customHeight="false" outlineLevel="0" collapsed="false">
      <c r="A16" s="37"/>
      <c r="B16" s="38"/>
      <c r="C16" s="38"/>
      <c r="D16" s="38"/>
      <c r="E16" s="39"/>
      <c r="F16" s="38"/>
      <c r="G16" s="37"/>
    </row>
    <row r="17" customFormat="false" ht="16.5" hidden="false" customHeight="false" outlineLevel="0" collapsed="false">
      <c r="A17" s="40"/>
      <c r="B17" s="41"/>
      <c r="C17" s="41"/>
      <c r="D17" s="41"/>
      <c r="E17" s="42"/>
      <c r="F17" s="41"/>
      <c r="G17" s="40"/>
    </row>
    <row r="18" customFormat="false" ht="16.5" hidden="false" customHeight="false" outlineLevel="0" collapsed="false">
      <c r="A18" s="37"/>
      <c r="B18" s="38"/>
      <c r="C18" s="38"/>
      <c r="D18" s="38"/>
      <c r="E18" s="39"/>
      <c r="F18" s="38"/>
      <c r="G18" s="37"/>
    </row>
    <row r="19" customFormat="false" ht="16.5" hidden="false" customHeight="false" outlineLevel="0" collapsed="false">
      <c r="A19" s="40"/>
      <c r="B19" s="41"/>
      <c r="C19" s="41"/>
      <c r="D19" s="41"/>
      <c r="E19" s="42"/>
      <c r="F19" s="41"/>
      <c r="G19" s="40"/>
    </row>
    <row r="20" customFormat="false" ht="16.5" hidden="false" customHeight="false" outlineLevel="0" collapsed="false">
      <c r="A20" s="37"/>
      <c r="B20" s="38"/>
      <c r="C20" s="38"/>
      <c r="D20" s="38"/>
      <c r="E20" s="39"/>
      <c r="F20" s="38"/>
      <c r="G20" s="37"/>
    </row>
    <row r="21" customFormat="false" ht="16.5" hidden="false" customHeight="false" outlineLevel="0" collapsed="false">
      <c r="A21" s="40"/>
      <c r="B21" s="41"/>
      <c r="C21" s="41"/>
      <c r="D21" s="41"/>
      <c r="E21" s="42"/>
      <c r="F21" s="41"/>
      <c r="G21" s="40"/>
    </row>
    <row r="22" customFormat="false" ht="16.5" hidden="false" customHeight="false" outlineLevel="0" collapsed="false">
      <c r="A22" s="37"/>
      <c r="B22" s="38"/>
      <c r="C22" s="38"/>
      <c r="D22" s="38"/>
      <c r="E22" s="39"/>
      <c r="F22" s="38"/>
      <c r="G22" s="37"/>
    </row>
    <row r="23" customFormat="false" ht="16.5" hidden="false" customHeight="false" outlineLevel="0" collapsed="false">
      <c r="A23" s="40"/>
      <c r="B23" s="41"/>
      <c r="C23" s="41"/>
      <c r="D23" s="41"/>
      <c r="E23" s="42"/>
      <c r="F23" s="41"/>
      <c r="G23" s="40"/>
    </row>
    <row r="24" customFormat="false" ht="16.5" hidden="false" customHeight="false" outlineLevel="0" collapsed="false">
      <c r="A24" s="37"/>
      <c r="B24" s="38"/>
      <c r="C24" s="38"/>
      <c r="D24" s="38"/>
      <c r="E24" s="39"/>
      <c r="F24" s="38"/>
      <c r="G24" s="37"/>
    </row>
    <row r="25" customFormat="false" ht="16.5" hidden="false" customHeight="false" outlineLevel="0" collapsed="false">
      <c r="A25" s="40"/>
      <c r="B25" s="41"/>
      <c r="C25" s="41"/>
      <c r="D25" s="41"/>
      <c r="E25" s="42"/>
      <c r="F25" s="41"/>
      <c r="G25" s="40"/>
    </row>
    <row r="26" customFormat="false" ht="16.5" hidden="false" customHeight="false" outlineLevel="0" collapsed="false">
      <c r="A26" s="37"/>
      <c r="B26" s="38"/>
      <c r="C26" s="38"/>
      <c r="D26" s="38"/>
      <c r="E26" s="39"/>
      <c r="F26" s="38"/>
      <c r="G26" s="37"/>
    </row>
    <row r="27" customFormat="false" ht="16.5" hidden="false" customHeight="false" outlineLevel="0" collapsed="false">
      <c r="A27" s="40"/>
      <c r="B27" s="41"/>
      <c r="C27" s="41"/>
      <c r="D27" s="41"/>
      <c r="E27" s="42"/>
      <c r="F27" s="41"/>
      <c r="G27" s="40"/>
    </row>
    <row r="28" customFormat="false" ht="16.5" hidden="false" customHeight="false" outlineLevel="0" collapsed="false">
      <c r="A28" s="37"/>
      <c r="B28" s="38"/>
      <c r="C28" s="38"/>
      <c r="D28" s="38"/>
      <c r="E28" s="39"/>
      <c r="F28" s="38"/>
      <c r="G28" s="37"/>
    </row>
    <row r="29" customFormat="false" ht="16.5" hidden="false" customHeight="false" outlineLevel="0" collapsed="false">
      <c r="A29" s="40"/>
      <c r="B29" s="41"/>
      <c r="C29" s="41"/>
      <c r="D29" s="41"/>
      <c r="E29" s="42"/>
      <c r="F29" s="41"/>
      <c r="G29" s="40"/>
    </row>
    <row r="30" customFormat="false" ht="16.5" hidden="false" customHeight="false" outlineLevel="0" collapsed="false">
      <c r="A30" s="37"/>
      <c r="B30" s="38"/>
      <c r="C30" s="38"/>
      <c r="D30" s="38"/>
      <c r="E30" s="39"/>
      <c r="F30" s="38"/>
      <c r="G30" s="37"/>
    </row>
    <row r="31" customFormat="false" ht="16.5" hidden="false" customHeight="false" outlineLevel="0" collapsed="false">
      <c r="A31" s="40"/>
      <c r="B31" s="41"/>
      <c r="C31" s="41"/>
      <c r="D31" s="41"/>
      <c r="E31" s="42"/>
      <c r="F31" s="41"/>
      <c r="G31" s="40"/>
    </row>
    <row r="32" customFormat="false" ht="16.5" hidden="false" customHeight="false" outlineLevel="0" collapsed="false">
      <c r="A32" s="37"/>
      <c r="B32" s="38"/>
      <c r="C32" s="38"/>
      <c r="D32" s="38"/>
      <c r="E32" s="39"/>
      <c r="F32" s="38"/>
      <c r="G32" s="37"/>
    </row>
    <row r="33" customFormat="false" ht="16.5" hidden="false" customHeight="false" outlineLevel="0" collapsed="false">
      <c r="A33" s="40"/>
      <c r="B33" s="41"/>
      <c r="C33" s="41"/>
      <c r="D33" s="41"/>
      <c r="E33" s="42"/>
      <c r="F33" s="41"/>
      <c r="G33" s="40"/>
    </row>
    <row r="34" customFormat="false" ht="16.5" hidden="false" customHeight="false" outlineLevel="0" collapsed="false">
      <c r="A34" s="37"/>
      <c r="B34" s="38"/>
      <c r="C34" s="38"/>
      <c r="D34" s="38"/>
      <c r="E34" s="39"/>
      <c r="F34" s="38"/>
      <c r="G34" s="37"/>
    </row>
    <row r="35" customFormat="false" ht="16.5" hidden="false" customHeight="false" outlineLevel="0" collapsed="false">
      <c r="A35" s="40"/>
      <c r="B35" s="41"/>
      <c r="C35" s="41"/>
      <c r="D35" s="41"/>
      <c r="E35" s="42"/>
      <c r="F35" s="41"/>
      <c r="G35" s="40"/>
    </row>
    <row r="36" customFormat="false" ht="16.5" hidden="false" customHeight="false" outlineLevel="0" collapsed="false">
      <c r="A36" s="37"/>
      <c r="B36" s="38"/>
      <c r="C36" s="38"/>
      <c r="D36" s="38"/>
      <c r="E36" s="39"/>
      <c r="F36" s="38"/>
      <c r="G36" s="37"/>
    </row>
    <row r="37" customFormat="false" ht="16.5" hidden="false" customHeight="false" outlineLevel="0" collapsed="false">
      <c r="A37" s="40"/>
      <c r="B37" s="41"/>
      <c r="C37" s="41"/>
      <c r="D37" s="41"/>
      <c r="E37" s="42"/>
      <c r="F37" s="41"/>
      <c r="G37" s="40"/>
    </row>
    <row r="38" customFormat="false" ht="16.5" hidden="false" customHeight="false" outlineLevel="0" collapsed="false">
      <c r="A38" s="37"/>
      <c r="B38" s="38"/>
      <c r="C38" s="38"/>
      <c r="D38" s="38"/>
      <c r="E38" s="39"/>
      <c r="F38" s="38"/>
      <c r="G38" s="37"/>
    </row>
    <row r="39" customFormat="false" ht="16.5" hidden="false" customHeight="false" outlineLevel="0" collapsed="false">
      <c r="A39" s="40"/>
      <c r="B39" s="41"/>
      <c r="C39" s="41"/>
      <c r="D39" s="41"/>
      <c r="E39" s="42"/>
      <c r="F39" s="41"/>
      <c r="G39" s="40"/>
    </row>
    <row r="40" customFormat="false" ht="16.5" hidden="false" customHeight="false" outlineLevel="0" collapsed="false">
      <c r="A40" s="37"/>
      <c r="B40" s="38"/>
      <c r="C40" s="38"/>
      <c r="D40" s="38"/>
      <c r="E40" s="39"/>
      <c r="F40" s="38"/>
      <c r="G40" s="37"/>
    </row>
    <row r="41" customFormat="false" ht="16.5" hidden="false" customHeight="false" outlineLevel="0" collapsed="false">
      <c r="A41" s="40"/>
      <c r="B41" s="41"/>
      <c r="C41" s="41"/>
      <c r="D41" s="41"/>
      <c r="E41" s="42"/>
      <c r="F41" s="41"/>
      <c r="G41" s="40"/>
    </row>
    <row r="42" customFormat="false" ht="16.5" hidden="false" customHeight="false" outlineLevel="0" collapsed="false">
      <c r="A42" s="37"/>
      <c r="B42" s="38"/>
      <c r="C42" s="38"/>
      <c r="D42" s="38"/>
      <c r="E42" s="39"/>
      <c r="F42" s="38"/>
      <c r="G42" s="37"/>
    </row>
    <row r="43" customFormat="false" ht="16.5" hidden="false" customHeight="false" outlineLevel="0" collapsed="false">
      <c r="A43" s="40"/>
      <c r="B43" s="41"/>
      <c r="C43" s="41"/>
      <c r="D43" s="41"/>
      <c r="E43" s="42"/>
      <c r="F43" s="41"/>
      <c r="G43" s="40"/>
    </row>
    <row r="44" customFormat="false" ht="16.5" hidden="false" customHeight="false" outlineLevel="0" collapsed="false">
      <c r="A44" s="37"/>
      <c r="B44" s="38"/>
      <c r="C44" s="38"/>
      <c r="D44" s="38"/>
      <c r="E44" s="39"/>
      <c r="F44" s="38"/>
      <c r="G44" s="37"/>
    </row>
    <row r="45" customFormat="false" ht="16.5" hidden="false" customHeight="false" outlineLevel="0" collapsed="false">
      <c r="A45" s="40"/>
      <c r="B45" s="41"/>
      <c r="C45" s="41"/>
      <c r="D45" s="41"/>
      <c r="E45" s="42"/>
      <c r="F45" s="41"/>
      <c r="G45" s="40"/>
    </row>
    <row r="46" customFormat="false" ht="16.5" hidden="false" customHeight="false" outlineLevel="0" collapsed="false">
      <c r="A46" s="37"/>
      <c r="B46" s="38"/>
      <c r="C46" s="38"/>
      <c r="D46" s="38"/>
      <c r="E46" s="39"/>
      <c r="F46" s="38"/>
      <c r="G46" s="37"/>
    </row>
    <row r="47" customFormat="false" ht="16.5" hidden="false" customHeight="false" outlineLevel="0" collapsed="false">
      <c r="A47" s="40"/>
      <c r="B47" s="41"/>
      <c r="C47" s="41"/>
      <c r="D47" s="41"/>
      <c r="E47" s="42"/>
      <c r="F47" s="41"/>
      <c r="G47" s="40"/>
    </row>
    <row r="48" customFormat="false" ht="16.5" hidden="false" customHeight="false" outlineLevel="0" collapsed="false">
      <c r="A48" s="37"/>
      <c r="B48" s="38"/>
      <c r="C48" s="38"/>
      <c r="D48" s="38"/>
      <c r="E48" s="39"/>
      <c r="F48" s="38"/>
      <c r="G48" s="37"/>
    </row>
    <row r="49" customFormat="false" ht="16.5" hidden="false" customHeight="false" outlineLevel="0" collapsed="false">
      <c r="A49" s="40"/>
      <c r="B49" s="41"/>
      <c r="C49" s="41"/>
      <c r="D49" s="41"/>
      <c r="E49" s="42"/>
      <c r="F49" s="41"/>
      <c r="G49" s="40"/>
    </row>
    <row r="50" customFormat="false" ht="16.5" hidden="false" customHeight="false" outlineLevel="0" collapsed="false">
      <c r="A50" s="37"/>
      <c r="B50" s="38"/>
      <c r="C50" s="38"/>
      <c r="D50" s="38"/>
      <c r="E50" s="39"/>
      <c r="F50" s="38"/>
      <c r="G50" s="37"/>
    </row>
    <row r="51" customFormat="false" ht="16.5" hidden="false" customHeight="false" outlineLevel="0" collapsed="false">
      <c r="A51" s="40"/>
      <c r="B51" s="41"/>
      <c r="C51" s="41"/>
      <c r="D51" s="41"/>
      <c r="E51" s="42"/>
      <c r="F51" s="41"/>
      <c r="G51" s="40"/>
    </row>
    <row r="52" customFormat="false" ht="16.5" hidden="false" customHeight="false" outlineLevel="0" collapsed="false">
      <c r="A52" s="37"/>
      <c r="B52" s="38"/>
      <c r="C52" s="38"/>
      <c r="D52" s="38"/>
      <c r="E52" s="39"/>
      <c r="F52" s="38"/>
      <c r="G52" s="37"/>
    </row>
    <row r="53" customFormat="false" ht="16.5" hidden="false" customHeight="false" outlineLevel="0" collapsed="false">
      <c r="A53" s="40"/>
      <c r="B53" s="41"/>
      <c r="C53" s="41"/>
      <c r="D53" s="41"/>
      <c r="E53" s="42"/>
      <c r="F53" s="41"/>
      <c r="G53" s="40"/>
    </row>
    <row r="54" customFormat="false" ht="16.5" hidden="false" customHeight="false" outlineLevel="0" collapsed="false">
      <c r="A54" s="37"/>
      <c r="B54" s="38"/>
      <c r="C54" s="38"/>
      <c r="D54" s="38"/>
      <c r="E54" s="39"/>
      <c r="F54" s="38"/>
      <c r="G54" s="37"/>
    </row>
    <row r="55" customFormat="false" ht="16.5" hidden="false" customHeight="false" outlineLevel="0" collapsed="false">
      <c r="A55" s="40"/>
      <c r="B55" s="41"/>
      <c r="C55" s="41"/>
      <c r="D55" s="41"/>
      <c r="E55" s="42"/>
      <c r="F55" s="41"/>
      <c r="G55" s="40"/>
    </row>
    <row r="56" customFormat="false" ht="16.5" hidden="false" customHeight="false" outlineLevel="0" collapsed="false">
      <c r="A56" s="37"/>
      <c r="B56" s="38"/>
      <c r="C56" s="38"/>
      <c r="D56" s="38"/>
      <c r="E56" s="39"/>
      <c r="F56" s="38"/>
      <c r="G56" s="37"/>
    </row>
    <row r="57" customFormat="false" ht="16.5" hidden="false" customHeight="false" outlineLevel="0" collapsed="false">
      <c r="A57" s="40"/>
      <c r="B57" s="41"/>
      <c r="C57" s="41"/>
      <c r="D57" s="41"/>
      <c r="E57" s="42"/>
      <c r="F57" s="41"/>
      <c r="G57" s="40"/>
    </row>
    <row r="58" customFormat="false" ht="16.5" hidden="false" customHeight="false" outlineLevel="0" collapsed="false">
      <c r="A58" s="37"/>
      <c r="B58" s="38"/>
      <c r="C58" s="38"/>
      <c r="D58" s="38"/>
      <c r="E58" s="39"/>
      <c r="F58" s="38"/>
      <c r="G58" s="37"/>
    </row>
    <row r="59" customFormat="false" ht="16.5" hidden="false" customHeight="false" outlineLevel="0" collapsed="false">
      <c r="A59" s="40"/>
      <c r="B59" s="41"/>
      <c r="C59" s="41"/>
      <c r="D59" s="41"/>
      <c r="E59" s="42"/>
      <c r="F59" s="41"/>
      <c r="G59" s="40"/>
    </row>
    <row r="60" customFormat="false" ht="16.5" hidden="false" customHeight="false" outlineLevel="0" collapsed="false">
      <c r="A60" s="37"/>
      <c r="B60" s="38"/>
      <c r="C60" s="38"/>
      <c r="D60" s="38"/>
      <c r="E60" s="39"/>
      <c r="F60" s="38"/>
      <c r="G60" s="37"/>
    </row>
    <row r="61" customFormat="false" ht="16.5" hidden="false" customHeight="false" outlineLevel="0" collapsed="false">
      <c r="A61" s="40"/>
      <c r="B61" s="41"/>
      <c r="C61" s="41"/>
      <c r="D61" s="41"/>
      <c r="E61" s="42"/>
      <c r="F61" s="41"/>
      <c r="G61" s="40"/>
    </row>
    <row r="62" customFormat="false" ht="16.5" hidden="false" customHeight="false" outlineLevel="0" collapsed="false">
      <c r="A62" s="37"/>
      <c r="B62" s="38"/>
      <c r="C62" s="38"/>
      <c r="D62" s="38"/>
      <c r="E62" s="39"/>
      <c r="F62" s="38"/>
      <c r="G62" s="37"/>
    </row>
    <row r="63" customFormat="false" ht="16.5" hidden="false" customHeight="false" outlineLevel="0" collapsed="false">
      <c r="A63" s="40"/>
      <c r="B63" s="41"/>
      <c r="C63" s="41"/>
      <c r="D63" s="41"/>
      <c r="E63" s="42"/>
      <c r="F63" s="41"/>
      <c r="G63" s="40"/>
    </row>
    <row r="64" customFormat="false" ht="16.5" hidden="false" customHeight="false" outlineLevel="0" collapsed="false">
      <c r="A64" s="37"/>
      <c r="B64" s="38"/>
      <c r="C64" s="38"/>
      <c r="D64" s="38"/>
      <c r="E64" s="39"/>
      <c r="F64" s="38"/>
      <c r="G64" s="37"/>
    </row>
    <row r="65" customFormat="false" ht="16.5" hidden="false" customHeight="false" outlineLevel="0" collapsed="false">
      <c r="A65" s="40"/>
      <c r="B65" s="41"/>
      <c r="C65" s="41"/>
      <c r="D65" s="41"/>
      <c r="E65" s="42"/>
      <c r="F65" s="41"/>
      <c r="G65" s="40"/>
    </row>
    <row r="66" customFormat="false" ht="16.5" hidden="false" customHeight="false" outlineLevel="0" collapsed="false">
      <c r="A66" s="37"/>
      <c r="B66" s="38"/>
      <c r="C66" s="38"/>
      <c r="D66" s="38"/>
      <c r="E66" s="39"/>
      <c r="F66" s="38"/>
      <c r="G66" s="37"/>
    </row>
    <row r="67" customFormat="false" ht="16.5" hidden="false" customHeight="false" outlineLevel="0" collapsed="false">
      <c r="A67" s="40"/>
      <c r="B67" s="41"/>
      <c r="C67" s="41"/>
      <c r="D67" s="41"/>
      <c r="E67" s="42"/>
      <c r="F67" s="41"/>
      <c r="G67" s="40"/>
    </row>
    <row r="68" customFormat="false" ht="16.5" hidden="false" customHeight="false" outlineLevel="0" collapsed="false">
      <c r="A68" s="37"/>
      <c r="B68" s="38"/>
      <c r="C68" s="38"/>
      <c r="D68" s="38"/>
      <c r="E68" s="39"/>
      <c r="F68" s="38"/>
      <c r="G68" s="37"/>
    </row>
    <row r="69" customFormat="false" ht="16.5" hidden="false" customHeight="false" outlineLevel="0" collapsed="false">
      <c r="A69" s="40"/>
      <c r="B69" s="41"/>
      <c r="C69" s="41"/>
      <c r="D69" s="41"/>
      <c r="E69" s="42"/>
      <c r="F69" s="41"/>
      <c r="G69" s="40"/>
    </row>
    <row r="70" customFormat="false" ht="16.5" hidden="false" customHeight="false" outlineLevel="0" collapsed="false">
      <c r="A70" s="37"/>
      <c r="B70" s="38"/>
      <c r="C70" s="38"/>
      <c r="D70" s="38"/>
      <c r="E70" s="39"/>
      <c r="F70" s="38"/>
      <c r="G70" s="37"/>
    </row>
    <row r="71" customFormat="false" ht="16.5" hidden="false" customHeight="false" outlineLevel="0" collapsed="false">
      <c r="A71" s="40"/>
      <c r="B71" s="41"/>
      <c r="C71" s="41"/>
      <c r="D71" s="41"/>
      <c r="E71" s="42"/>
      <c r="F71" s="41"/>
      <c r="G71" s="40"/>
    </row>
    <row r="72" customFormat="false" ht="16.5" hidden="false" customHeight="false" outlineLevel="0" collapsed="false">
      <c r="A72" s="37"/>
      <c r="B72" s="38"/>
      <c r="C72" s="38"/>
      <c r="D72" s="38"/>
      <c r="E72" s="39"/>
      <c r="F72" s="38"/>
      <c r="G72" s="37"/>
    </row>
    <row r="73" customFormat="false" ht="16.5" hidden="false" customHeight="false" outlineLevel="0" collapsed="false">
      <c r="A73" s="40"/>
      <c r="B73" s="41"/>
      <c r="C73" s="41"/>
      <c r="D73" s="41"/>
      <c r="E73" s="42"/>
      <c r="F73" s="41"/>
      <c r="G73" s="40"/>
    </row>
    <row r="74" customFormat="false" ht="16.5" hidden="false" customHeight="false" outlineLevel="0" collapsed="false">
      <c r="A74" s="37"/>
      <c r="B74" s="38"/>
      <c r="C74" s="38"/>
      <c r="D74" s="38"/>
      <c r="E74" s="39"/>
      <c r="F74" s="38"/>
      <c r="G74" s="37"/>
    </row>
    <row r="75" customFormat="false" ht="16.5" hidden="false" customHeight="false" outlineLevel="0" collapsed="false">
      <c r="A75" s="40"/>
      <c r="B75" s="41"/>
      <c r="C75" s="41"/>
      <c r="D75" s="41"/>
      <c r="E75" s="42"/>
      <c r="F75" s="41"/>
      <c r="G75" s="40"/>
    </row>
    <row r="76" customFormat="false" ht="16.5" hidden="false" customHeight="false" outlineLevel="0" collapsed="false">
      <c r="A76" s="37"/>
      <c r="B76" s="38"/>
      <c r="C76" s="38"/>
      <c r="D76" s="38"/>
      <c r="E76" s="39"/>
      <c r="F76" s="38"/>
      <c r="G76" s="37"/>
    </row>
    <row r="77" customFormat="false" ht="16.5" hidden="false" customHeight="false" outlineLevel="0" collapsed="false">
      <c r="A77" s="40"/>
      <c r="B77" s="41"/>
      <c r="C77" s="41"/>
      <c r="D77" s="41"/>
      <c r="E77" s="42"/>
      <c r="F77" s="41"/>
      <c r="G77" s="40"/>
    </row>
    <row r="78" customFormat="false" ht="16.5" hidden="false" customHeight="false" outlineLevel="0" collapsed="false">
      <c r="A78" s="37"/>
      <c r="B78" s="38"/>
      <c r="C78" s="38"/>
      <c r="D78" s="38"/>
      <c r="E78" s="39"/>
      <c r="F78" s="38"/>
      <c r="G78" s="37"/>
    </row>
    <row r="79" customFormat="false" ht="16.5" hidden="false" customHeight="false" outlineLevel="0" collapsed="false">
      <c r="A79" s="40"/>
      <c r="B79" s="41"/>
      <c r="C79" s="41"/>
      <c r="D79" s="41"/>
      <c r="E79" s="42"/>
      <c r="F79" s="41"/>
      <c r="G79" s="40"/>
    </row>
    <row r="80" customFormat="false" ht="16.5" hidden="false" customHeight="false" outlineLevel="0" collapsed="false">
      <c r="A80" s="37"/>
      <c r="B80" s="38"/>
      <c r="C80" s="38"/>
      <c r="D80" s="38"/>
      <c r="E80" s="39"/>
      <c r="F80" s="38"/>
      <c r="G80" s="37"/>
    </row>
    <row r="81" customFormat="false" ht="16.5" hidden="false" customHeight="false" outlineLevel="0" collapsed="false">
      <c r="A81" s="40"/>
      <c r="B81" s="41"/>
      <c r="C81" s="41"/>
      <c r="D81" s="41"/>
      <c r="E81" s="42"/>
      <c r="F81" s="41"/>
      <c r="G81" s="40"/>
    </row>
    <row r="82" customFormat="false" ht="16.5" hidden="false" customHeight="false" outlineLevel="0" collapsed="false">
      <c r="A82" s="37"/>
      <c r="B82" s="38"/>
      <c r="C82" s="38"/>
      <c r="D82" s="38"/>
      <c r="E82" s="39"/>
      <c r="F82" s="38"/>
      <c r="G82" s="37"/>
    </row>
    <row r="83" customFormat="false" ht="16.5" hidden="false" customHeight="false" outlineLevel="0" collapsed="false">
      <c r="A83" s="40"/>
      <c r="B83" s="41"/>
      <c r="C83" s="41"/>
      <c r="D83" s="41"/>
      <c r="E83" s="42"/>
      <c r="F83" s="41"/>
      <c r="G83" s="40"/>
    </row>
    <row r="84" customFormat="false" ht="16.5" hidden="false" customHeight="false" outlineLevel="0" collapsed="false">
      <c r="A84" s="37"/>
      <c r="B84" s="38"/>
      <c r="C84" s="38"/>
      <c r="D84" s="38"/>
      <c r="E84" s="39"/>
      <c r="F84" s="38"/>
      <c r="G84" s="37"/>
    </row>
    <row r="85" customFormat="false" ht="16.5" hidden="false" customHeight="false" outlineLevel="0" collapsed="false">
      <c r="A85" s="40"/>
      <c r="B85" s="41"/>
      <c r="C85" s="41"/>
      <c r="D85" s="41"/>
      <c r="E85" s="42"/>
      <c r="F85" s="41"/>
      <c r="G85" s="40"/>
    </row>
    <row r="86" customFormat="false" ht="16.5" hidden="false" customHeight="false" outlineLevel="0" collapsed="false">
      <c r="A86" s="37"/>
      <c r="B86" s="38"/>
      <c r="C86" s="38"/>
      <c r="D86" s="38"/>
      <c r="E86" s="39"/>
      <c r="F86" s="38"/>
      <c r="G86" s="37"/>
    </row>
    <row r="87" customFormat="false" ht="16.5" hidden="false" customHeight="false" outlineLevel="0" collapsed="false">
      <c r="A87" s="40"/>
      <c r="B87" s="41"/>
      <c r="C87" s="41"/>
      <c r="D87" s="41"/>
      <c r="E87" s="42"/>
      <c r="F87" s="41"/>
      <c r="G87" s="40"/>
    </row>
    <row r="88" customFormat="false" ht="16.5" hidden="false" customHeight="false" outlineLevel="0" collapsed="false">
      <c r="A88" s="37"/>
      <c r="B88" s="38"/>
      <c r="C88" s="38"/>
      <c r="D88" s="38"/>
      <c r="E88" s="39"/>
      <c r="F88" s="38"/>
      <c r="G88" s="37"/>
    </row>
    <row r="89" customFormat="false" ht="16.5" hidden="false" customHeight="false" outlineLevel="0" collapsed="false">
      <c r="A89" s="40"/>
      <c r="B89" s="41"/>
      <c r="C89" s="41"/>
      <c r="D89" s="41"/>
      <c r="E89" s="42"/>
      <c r="F89" s="41"/>
      <c r="G89" s="40"/>
    </row>
    <row r="90" customFormat="false" ht="16.5" hidden="false" customHeight="false" outlineLevel="0" collapsed="false">
      <c r="A90" s="37"/>
      <c r="B90" s="38"/>
      <c r="C90" s="38"/>
      <c r="D90" s="38"/>
      <c r="E90" s="39"/>
      <c r="F90" s="38"/>
      <c r="G90" s="37"/>
    </row>
    <row r="91" customFormat="false" ht="16.5" hidden="false" customHeight="false" outlineLevel="0" collapsed="false">
      <c r="A91" s="40"/>
      <c r="B91" s="41"/>
      <c r="C91" s="41"/>
      <c r="D91" s="41"/>
      <c r="E91" s="42"/>
      <c r="F91" s="41"/>
      <c r="G91" s="40"/>
    </row>
    <row r="92" customFormat="false" ht="16.5" hidden="false" customHeight="false" outlineLevel="0" collapsed="false">
      <c r="A92" s="37"/>
      <c r="B92" s="38"/>
      <c r="C92" s="38"/>
      <c r="D92" s="38"/>
      <c r="E92" s="39"/>
      <c r="F92" s="38"/>
      <c r="G92" s="37"/>
    </row>
    <row r="93" customFormat="false" ht="16.5" hidden="false" customHeight="false" outlineLevel="0" collapsed="false">
      <c r="A93" s="40"/>
      <c r="B93" s="41"/>
      <c r="C93" s="41"/>
      <c r="D93" s="41"/>
      <c r="E93" s="42"/>
      <c r="F93" s="41"/>
      <c r="G93" s="40"/>
    </row>
    <row r="94" customFormat="false" ht="16.5" hidden="false" customHeight="false" outlineLevel="0" collapsed="false">
      <c r="A94" s="37"/>
      <c r="B94" s="38"/>
      <c r="C94" s="38"/>
      <c r="D94" s="38"/>
      <c r="E94" s="39"/>
      <c r="F94" s="38"/>
      <c r="G94" s="37"/>
    </row>
    <row r="95" customFormat="false" ht="16.5" hidden="false" customHeight="false" outlineLevel="0" collapsed="false">
      <c r="A95" s="40"/>
      <c r="B95" s="41"/>
      <c r="C95" s="41"/>
      <c r="D95" s="41"/>
      <c r="E95" s="42"/>
      <c r="F95" s="41"/>
      <c r="G95" s="40"/>
    </row>
    <row r="96" customFormat="false" ht="16.5" hidden="false" customHeight="false" outlineLevel="0" collapsed="false">
      <c r="A96" s="37"/>
      <c r="B96" s="38"/>
      <c r="C96" s="38"/>
      <c r="D96" s="38"/>
      <c r="E96" s="39"/>
      <c r="F96" s="38"/>
      <c r="G96" s="37"/>
    </row>
    <row r="97" customFormat="false" ht="16.5" hidden="false" customHeight="false" outlineLevel="0" collapsed="false">
      <c r="A97" s="40"/>
      <c r="B97" s="41"/>
      <c r="C97" s="41"/>
      <c r="D97" s="41"/>
      <c r="E97" s="42"/>
      <c r="F97" s="41"/>
      <c r="G97" s="40"/>
    </row>
    <row r="98" customFormat="false" ht="16.5" hidden="false" customHeight="false" outlineLevel="0" collapsed="false">
      <c r="A98" s="37"/>
      <c r="B98" s="38"/>
      <c r="C98" s="38"/>
      <c r="D98" s="38"/>
      <c r="E98" s="39"/>
      <c r="F98" s="38"/>
      <c r="G98" s="37"/>
    </row>
    <row r="99" customFormat="false" ht="16.5" hidden="false" customHeight="false" outlineLevel="0" collapsed="false">
      <c r="A99" s="40"/>
      <c r="B99" s="41"/>
      <c r="C99" s="41"/>
      <c r="D99" s="41"/>
      <c r="E99" s="42"/>
      <c r="F99" s="41"/>
      <c r="G99" s="40"/>
    </row>
    <row r="100" customFormat="false" ht="16.5" hidden="false" customHeight="false" outlineLevel="0" collapsed="false">
      <c r="A100" s="37"/>
      <c r="B100" s="38"/>
      <c r="C100" s="38"/>
      <c r="D100" s="38"/>
      <c r="E100" s="39"/>
      <c r="F100" s="38"/>
      <c r="G100" s="37"/>
    </row>
    <row r="101" customFormat="false" ht="16.5" hidden="false" customHeight="false" outlineLevel="0" collapsed="false">
      <c r="A101" s="40"/>
      <c r="B101" s="41"/>
      <c r="C101" s="41"/>
      <c r="D101" s="41"/>
      <c r="E101" s="42"/>
      <c r="F101" s="41"/>
      <c r="G101" s="40"/>
    </row>
    <row r="102" customFormat="false" ht="16.5" hidden="false" customHeight="false" outlineLevel="0" collapsed="false">
      <c r="A102" s="37"/>
      <c r="B102" s="38"/>
      <c r="C102" s="38"/>
      <c r="D102" s="38"/>
      <c r="E102" s="39"/>
      <c r="F102" s="38"/>
      <c r="G102" s="37"/>
    </row>
    <row r="103" customFormat="false" ht="16.5" hidden="false" customHeight="false" outlineLevel="0" collapsed="false">
      <c r="A103" s="40"/>
      <c r="B103" s="41"/>
      <c r="C103" s="41"/>
      <c r="D103" s="41"/>
      <c r="E103" s="42"/>
      <c r="F103" s="41"/>
      <c r="G103" s="40"/>
    </row>
    <row r="104" customFormat="false" ht="16.5" hidden="false" customHeight="false" outlineLevel="0" collapsed="false">
      <c r="A104" s="37"/>
      <c r="B104" s="38"/>
      <c r="C104" s="38"/>
      <c r="D104" s="38"/>
      <c r="E104" s="39"/>
      <c r="F104" s="38"/>
      <c r="G104" s="37"/>
    </row>
    <row r="105" customFormat="false" ht="16.5" hidden="false" customHeight="false" outlineLevel="0" collapsed="false">
      <c r="A105" s="40"/>
      <c r="B105" s="41"/>
      <c r="C105" s="41"/>
      <c r="D105" s="41"/>
      <c r="E105" s="42"/>
      <c r="F105" s="41"/>
      <c r="G105" s="40"/>
    </row>
  </sheetData>
  <sheetProtection sheet="true" formatCells="false" formatColumns="false" formatRows="false" insertRows="false" autoFilter="false"/>
  <mergeCells count="2">
    <mergeCell ref="A1:H1"/>
    <mergeCell ref="A2:H2"/>
  </mergeCells>
  <conditionalFormatting sqref="F6:F105">
    <cfRule type="cellIs" priority="2" operator="equal" aboveAverage="0" equalAverage="0" bottom="0" percent="0" rank="0" text="" dxfId="9">
      <formula>"Paid"</formula>
    </cfRule>
    <cfRule type="cellIs" priority="3" operator="equal" aboveAverage="0" equalAverage="0" bottom="0" percent="0" rank="0" text="" dxfId="10">
      <formula>"Sent"</formula>
    </cfRule>
    <cfRule type="cellIs" priority="4" operator="equal" aboveAverage="0" equalAverage="0" bottom="0" percent="0" rank="0" text="" dxfId="11">
      <formula>"Overdue"</formula>
    </cfRule>
  </conditionalFormatting>
  <dataValidations count="2">
    <dataValidation allowBlank="true" errorStyle="stop" operator="between" showDropDown="false" showErrorMessage="false" showInputMessage="false" sqref="B6:B105" type="list">
      <formula1>ClientList</formula1>
      <formula2>0</formula2>
    </dataValidation>
    <dataValidation allowBlank="true" errorStyle="stop" operator="between" showDropDown="false" showErrorMessage="false" showInputMessage="false" sqref="F6:F105" type="list">
      <formula1>"Draft,Sent,Paid,Overdue"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6" min="5" style="0" width="14"/>
    <col collapsed="false" customWidth="true" hidden="false" outlineLevel="0" max="7" min="7" style="0" width="4"/>
    <col collapsed="false" customWidth="true" hidden="false" outlineLevel="0" max="9" min="8" style="0" width="14"/>
    <col collapsed="false" customWidth="true" hidden="false" outlineLevel="0" max="10" min="10" style="0" width="4"/>
    <col collapsed="false" customWidth="true" hidden="false" outlineLevel="0" max="12" min="11" style="0" width="14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Format="false" ht="15.75" hidden="false" customHeight="true" outlineLevel="0" collapsed="false">
      <c r="A2" s="3" t="s">
        <v>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6.5" hidden="false" customHeight="false" outlineLevel="0" collapsed="false">
      <c r="A4" s="2"/>
      <c r="B4" s="8" t="s">
        <v>78</v>
      </c>
      <c r="C4" s="12" t="n">
        <v>2026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8" hidden="false" customHeight="true" outlineLevel="0" collapsed="false">
      <c r="A6" s="2"/>
      <c r="B6" s="43" t="s">
        <v>79</v>
      </c>
      <c r="C6" s="43"/>
      <c r="D6" s="2"/>
      <c r="E6" s="43" t="s">
        <v>80</v>
      </c>
      <c r="F6" s="43"/>
      <c r="G6" s="2"/>
      <c r="H6" s="43" t="s">
        <v>81</v>
      </c>
      <c r="I6" s="43"/>
      <c r="J6" s="2"/>
      <c r="K6" s="43" t="s">
        <v>82</v>
      </c>
      <c r="L6" s="43"/>
      <c r="M6" s="2"/>
    </row>
    <row r="7" customFormat="false" ht="31.5" hidden="false" customHeight="true" outlineLevel="0" collapsed="false">
      <c r="A7" s="2"/>
      <c r="B7" s="44" t="n">
        <f aca="false">SUMIFS('Income Log'!$E$6:$E$105,'Income Log'!$A$6:$A$105,"&gt;="&amp;DATE($C$4,1,1),'Income Log'!$A$6:$A$105,"&lt;"&amp;DATE($C$4+1,1,1))</f>
        <v>2970</v>
      </c>
      <c r="C7" s="44"/>
      <c r="D7" s="2"/>
      <c r="E7" s="45" t="n">
        <f aca="false">SUMIFS('Income Log'!$E$6:$E$105,'Income Log'!$F$6:$F$105,"Paid",'Income Log'!$A$6:$A$105,"&gt;="&amp;DATE($C$4,1,1),'Income Log'!$A$6:$A$105,"&lt;"&amp;DATE($C$4+1,1,1))</f>
        <v>2370</v>
      </c>
      <c r="F7" s="45"/>
      <c r="G7" s="2"/>
      <c r="H7" s="46" t="n">
        <f aca="false">B7-E7</f>
        <v>600</v>
      </c>
      <c r="I7" s="46"/>
      <c r="J7" s="2"/>
      <c r="K7" s="47" t="n">
        <f aca="false">COUNTIFS('Income Log'!$A$6:$A$105,"&gt;="&amp;DATE($C$4,1,1),'Income Log'!$A$6:$A$105,"&lt;"&amp;DATE($C$4+1,1,1))</f>
        <v>3</v>
      </c>
      <c r="L7" s="47"/>
      <c r="M7" s="2"/>
    </row>
    <row r="8" customFormat="false" ht="6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8" hidden="false" customHeight="true" outlineLevel="0" collapsed="false">
      <c r="A9" s="2"/>
      <c r="B9" s="43" t="s">
        <v>83</v>
      </c>
      <c r="C9" s="43"/>
      <c r="D9" s="2"/>
      <c r="E9" s="43" t="s">
        <v>84</v>
      </c>
      <c r="F9" s="43"/>
      <c r="G9" s="2"/>
      <c r="H9" s="43" t="s">
        <v>85</v>
      </c>
      <c r="I9" s="43"/>
      <c r="J9" s="2"/>
      <c r="K9" s="43" t="s">
        <v>86</v>
      </c>
      <c r="L9" s="43"/>
      <c r="M9" s="2"/>
    </row>
    <row r="10" customFormat="false" ht="31.5" hidden="false" customHeight="true" outlineLevel="0" collapsed="false">
      <c r="A10" s="2"/>
      <c r="B10" s="48" t="n">
        <f aca="false">IFERROR(ROUND(SUMPRODUCT(('Income Log'!$G$6:$G$105-'Income Log'!$A$6:$A$105)*('Income Log'!$G$6:$G$105&lt;&gt;"")*(YEAR('Income Log'!$A$6:$A$105)=$C$4))/SUMPRODUCT(('Income Log'!$G$6:$G$105&lt;&gt;"")*(YEAR('Income Log'!$A$6:$A$105)=$C$4)*1),1),"—")</f>
        <v>10</v>
      </c>
      <c r="C10" s="48"/>
      <c r="D10" s="2"/>
      <c r="E10" s="49" t="n">
        <f aca="false">IF(B7=0,"",E7/B7)</f>
        <v>0.797979797979798</v>
      </c>
      <c r="F10" s="49"/>
      <c r="G10" s="2"/>
      <c r="H10" s="50" t="n">
        <f aca="false">IF(K7=0,"",B7/K7)</f>
        <v>990</v>
      </c>
      <c r="I10" s="50"/>
      <c r="J10" s="2"/>
      <c r="K10" s="46" t="n">
        <f aca="false">SUMIFS('Income Log'!$E$6:$E$105,'Income Log'!$F$6:$F$105,"Overdue",'Income Log'!$A$6:$A$105,"&gt;="&amp;DATE($C$4,1,1),'Income Log'!$A$6:$A$105,"&lt;"&amp;DATE($C$4+1,1,1))</f>
        <v>0</v>
      </c>
      <c r="L10" s="46"/>
      <c r="M10" s="2"/>
    </row>
    <row r="11" customFormat="false" ht="16.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6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6.5" hidden="false" customHeight="false" outlineLevel="0" collapsed="false">
      <c r="A13" s="2"/>
      <c r="B13" s="6" t="s">
        <v>87</v>
      </c>
      <c r="C13" s="2"/>
      <c r="D13" s="2"/>
      <c r="E13" s="2"/>
      <c r="F13" s="2"/>
      <c r="G13" s="2"/>
      <c r="H13" s="6" t="s">
        <v>88</v>
      </c>
      <c r="I13" s="2"/>
      <c r="J13" s="2"/>
      <c r="K13" s="2"/>
      <c r="L13" s="2"/>
      <c r="M13" s="2"/>
    </row>
    <row r="14" customFormat="false" ht="21.75" hidden="false" customHeight="true" outlineLevel="0" collapsed="false">
      <c r="A14" s="16" t="s">
        <v>89</v>
      </c>
      <c r="B14" s="16" t="s">
        <v>90</v>
      </c>
      <c r="C14" s="16" t="s">
        <v>91</v>
      </c>
      <c r="D14" s="2"/>
      <c r="E14" s="2"/>
      <c r="F14" s="2"/>
      <c r="G14" s="2"/>
      <c r="H14" s="16" t="s">
        <v>40</v>
      </c>
      <c r="I14" s="16" t="s">
        <v>91</v>
      </c>
      <c r="J14" s="2"/>
      <c r="K14" s="2"/>
      <c r="L14" s="2"/>
      <c r="M14" s="2"/>
    </row>
    <row r="15" customFormat="false" ht="16.5" hidden="false" customHeight="false" outlineLevel="0" collapsed="false">
      <c r="A15" s="51" t="n">
        <v>1</v>
      </c>
      <c r="B15" s="52" t="s">
        <v>92</v>
      </c>
      <c r="C15" s="53" t="n">
        <f aca="false">SUMIFS('Income Log'!$E$6:$E$105,'Income Log'!$A$6:$A$105,"&gt;="&amp;DATE($C$4,$A15,1),'Income Log'!$A$6:$A$105,"&lt;"&amp;DATE($C$4,$A15+1,1))</f>
        <v>1520</v>
      </c>
      <c r="D15" s="2"/>
      <c r="E15" s="2"/>
      <c r="F15" s="2"/>
      <c r="G15" s="2"/>
      <c r="H15" s="52" t="str">
        <f aca="false">IF(Settings!A18="","",Settings!A18)</f>
        <v>Acme Studios</v>
      </c>
      <c r="I15" s="53" t="n">
        <f aca="false">IF($H15="","",SUMIFS('Income Log'!$E$6:$E$105,'Income Log'!$B$6:$B$105,$H15,'Income Log'!$A$6:$A$105,"&gt;="&amp;DATE($C$4,1,1),'Income Log'!$A$6:$A$105,"&lt;"&amp;DATE($C$4+1,1,1)))</f>
        <v>2120</v>
      </c>
      <c r="J15" s="2"/>
      <c r="K15" s="2"/>
      <c r="L15" s="2"/>
      <c r="M15" s="2"/>
    </row>
    <row r="16" customFormat="false" ht="16.5" hidden="false" customHeight="false" outlineLevel="0" collapsed="false">
      <c r="A16" s="51" t="n">
        <v>2</v>
      </c>
      <c r="B16" s="52" t="s">
        <v>93</v>
      </c>
      <c r="C16" s="53" t="n">
        <f aca="false">SUMIFS('Income Log'!$E$6:$E$105,'Income Log'!$A$6:$A$105,"&gt;="&amp;DATE($C$4,$A16,1),'Income Log'!$A$6:$A$105,"&lt;"&amp;DATE($C$4,$A16+1,1))</f>
        <v>850</v>
      </c>
      <c r="D16" s="2"/>
      <c r="E16" s="2"/>
      <c r="F16" s="2"/>
      <c r="G16" s="2"/>
      <c r="H16" s="52" t="str">
        <f aca="false">IF(Settings!A19="","",Settings!A19)</f>
        <v>Beacon Coffee Co.</v>
      </c>
      <c r="I16" s="53" t="n">
        <f aca="false">IF($H16="","",SUMIFS('Income Log'!$E$6:$E$105,'Income Log'!$B$6:$B$105,$H16,'Income Log'!$A$6:$A$105,"&gt;="&amp;DATE($C$4,1,1),'Income Log'!$A$6:$A$105,"&lt;"&amp;DATE($C$4+1,1,1)))</f>
        <v>850</v>
      </c>
      <c r="J16" s="2"/>
      <c r="K16" s="2"/>
      <c r="L16" s="2"/>
      <c r="M16" s="2"/>
    </row>
    <row r="17" customFormat="false" ht="16.5" hidden="false" customHeight="false" outlineLevel="0" collapsed="false">
      <c r="A17" s="51" t="n">
        <v>3</v>
      </c>
      <c r="B17" s="52" t="s">
        <v>94</v>
      </c>
      <c r="C17" s="53" t="n">
        <f aca="false">SUMIFS('Income Log'!$E$6:$E$105,'Income Log'!$A$6:$A$105,"&gt;="&amp;DATE($C$4,$A17,1),'Income Log'!$A$6:$A$105,"&lt;"&amp;DATE($C$4,$A17+1,1))</f>
        <v>600</v>
      </c>
      <c r="D17" s="2"/>
      <c r="E17" s="2"/>
      <c r="F17" s="2"/>
      <c r="G17" s="2"/>
      <c r="H17" s="52" t="str">
        <f aca="false">IF(Settings!A20="","",Settings!A20)</f>
        <v/>
      </c>
      <c r="I17" s="53" t="str">
        <f aca="false">IF($H17="","",SUMIFS('Income Log'!$E$6:$E$105,'Income Log'!$B$6:$B$105,$H17,'Income Log'!$A$6:$A$105,"&gt;="&amp;DATE($C$4,1,1),'Income Log'!$A$6:$A$105,"&lt;"&amp;DATE($C$4+1,1,1)))</f>
        <v/>
      </c>
      <c r="J17" s="2"/>
      <c r="K17" s="2"/>
      <c r="L17" s="2"/>
      <c r="M17" s="2"/>
    </row>
    <row r="18" customFormat="false" ht="16.5" hidden="false" customHeight="false" outlineLevel="0" collapsed="false">
      <c r="A18" s="51" t="n">
        <v>4</v>
      </c>
      <c r="B18" s="52" t="s">
        <v>95</v>
      </c>
      <c r="C18" s="53" t="n">
        <f aca="false">SUMIFS('Income Log'!$E$6:$E$105,'Income Log'!$A$6:$A$105,"&gt;="&amp;DATE($C$4,$A18,1),'Income Log'!$A$6:$A$105,"&lt;"&amp;DATE($C$4,$A18+1,1))</f>
        <v>0</v>
      </c>
      <c r="D18" s="2"/>
      <c r="E18" s="2"/>
      <c r="F18" s="2"/>
      <c r="G18" s="2"/>
      <c r="H18" s="52" t="str">
        <f aca="false">IF(Settings!A21="","",Settings!A21)</f>
        <v/>
      </c>
      <c r="I18" s="53" t="str">
        <f aca="false">IF($H18="","",SUMIFS('Income Log'!$E$6:$E$105,'Income Log'!$B$6:$B$105,$H18,'Income Log'!$A$6:$A$105,"&gt;="&amp;DATE($C$4,1,1),'Income Log'!$A$6:$A$105,"&lt;"&amp;DATE($C$4+1,1,1)))</f>
        <v/>
      </c>
      <c r="J18" s="2"/>
      <c r="K18" s="2"/>
      <c r="L18" s="2"/>
      <c r="M18" s="2"/>
    </row>
    <row r="19" customFormat="false" ht="16.5" hidden="false" customHeight="false" outlineLevel="0" collapsed="false">
      <c r="A19" s="51" t="n">
        <v>5</v>
      </c>
      <c r="B19" s="52" t="s">
        <v>96</v>
      </c>
      <c r="C19" s="53" t="n">
        <f aca="false">SUMIFS('Income Log'!$E$6:$E$105,'Income Log'!$A$6:$A$105,"&gt;="&amp;DATE($C$4,$A19,1),'Income Log'!$A$6:$A$105,"&lt;"&amp;DATE($C$4,$A19+1,1))</f>
        <v>0</v>
      </c>
      <c r="D19" s="2"/>
      <c r="E19" s="2"/>
      <c r="F19" s="2"/>
      <c r="G19" s="2"/>
      <c r="H19" s="52" t="str">
        <f aca="false">IF(Settings!A22="","",Settings!A22)</f>
        <v/>
      </c>
      <c r="I19" s="53" t="str">
        <f aca="false">IF($H19="","",SUMIFS('Income Log'!$E$6:$E$105,'Income Log'!$B$6:$B$105,$H19,'Income Log'!$A$6:$A$105,"&gt;="&amp;DATE($C$4,1,1),'Income Log'!$A$6:$A$105,"&lt;"&amp;DATE($C$4+1,1,1)))</f>
        <v/>
      </c>
      <c r="J19" s="2"/>
      <c r="K19" s="2"/>
      <c r="L19" s="2"/>
      <c r="M19" s="2"/>
    </row>
    <row r="20" customFormat="false" ht="16.5" hidden="false" customHeight="false" outlineLevel="0" collapsed="false">
      <c r="A20" s="51" t="n">
        <v>6</v>
      </c>
      <c r="B20" s="52" t="s">
        <v>97</v>
      </c>
      <c r="C20" s="53" t="n">
        <f aca="false">SUMIFS('Income Log'!$E$6:$E$105,'Income Log'!$A$6:$A$105,"&gt;="&amp;DATE($C$4,$A20,1),'Income Log'!$A$6:$A$105,"&lt;"&amp;DATE($C$4,$A20+1,1))</f>
        <v>0</v>
      </c>
      <c r="D20" s="2"/>
      <c r="E20" s="2"/>
      <c r="F20" s="2"/>
      <c r="G20" s="2"/>
      <c r="H20" s="52" t="str">
        <f aca="false">IF(Settings!A23="","",Settings!A23)</f>
        <v/>
      </c>
      <c r="I20" s="53" t="str">
        <f aca="false">IF($H20="","",SUMIFS('Income Log'!$E$6:$E$105,'Income Log'!$B$6:$B$105,$H20,'Income Log'!$A$6:$A$105,"&gt;="&amp;DATE($C$4,1,1),'Income Log'!$A$6:$A$105,"&lt;"&amp;DATE($C$4+1,1,1)))</f>
        <v/>
      </c>
      <c r="J20" s="2"/>
      <c r="K20" s="2"/>
      <c r="L20" s="2"/>
      <c r="M20" s="2"/>
    </row>
    <row r="21" customFormat="false" ht="16.5" hidden="false" customHeight="false" outlineLevel="0" collapsed="false">
      <c r="A21" s="51" t="n">
        <v>7</v>
      </c>
      <c r="B21" s="52" t="s">
        <v>98</v>
      </c>
      <c r="C21" s="53" t="n">
        <f aca="false">SUMIFS('Income Log'!$E$6:$E$105,'Income Log'!$A$6:$A$105,"&gt;="&amp;DATE($C$4,$A21,1),'Income Log'!$A$6:$A$105,"&lt;"&amp;DATE($C$4,$A21+1,1))</f>
        <v>0</v>
      </c>
      <c r="D21" s="2"/>
      <c r="E21" s="2"/>
      <c r="F21" s="2"/>
      <c r="G21" s="2"/>
      <c r="H21" s="52" t="str">
        <f aca="false">IF(Settings!A24="","",Settings!A24)</f>
        <v/>
      </c>
      <c r="I21" s="53" t="str">
        <f aca="false">IF($H21="","",SUMIFS('Income Log'!$E$6:$E$105,'Income Log'!$B$6:$B$105,$H21,'Income Log'!$A$6:$A$105,"&gt;="&amp;DATE($C$4,1,1),'Income Log'!$A$6:$A$105,"&lt;"&amp;DATE($C$4+1,1,1)))</f>
        <v/>
      </c>
      <c r="J21" s="2"/>
      <c r="K21" s="2"/>
      <c r="L21" s="2"/>
      <c r="M21" s="2"/>
    </row>
    <row r="22" customFormat="false" ht="16.5" hidden="false" customHeight="false" outlineLevel="0" collapsed="false">
      <c r="A22" s="51" t="n">
        <v>8</v>
      </c>
      <c r="B22" s="52" t="s">
        <v>99</v>
      </c>
      <c r="C22" s="53" t="n">
        <f aca="false">SUMIFS('Income Log'!$E$6:$E$105,'Income Log'!$A$6:$A$105,"&gt;="&amp;DATE($C$4,$A22,1),'Income Log'!$A$6:$A$105,"&lt;"&amp;DATE($C$4,$A22+1,1))</f>
        <v>0</v>
      </c>
      <c r="D22" s="2"/>
      <c r="E22" s="2"/>
      <c r="F22" s="2"/>
      <c r="G22" s="2"/>
      <c r="H22" s="52" t="str">
        <f aca="false">IF(Settings!A25="","",Settings!A25)</f>
        <v/>
      </c>
      <c r="I22" s="53" t="str">
        <f aca="false">IF($H22="","",SUMIFS('Income Log'!$E$6:$E$105,'Income Log'!$B$6:$B$105,$H22,'Income Log'!$A$6:$A$105,"&gt;="&amp;DATE($C$4,1,1),'Income Log'!$A$6:$A$105,"&lt;"&amp;DATE($C$4+1,1,1)))</f>
        <v/>
      </c>
      <c r="J22" s="2"/>
      <c r="K22" s="2"/>
      <c r="L22" s="2"/>
      <c r="M22" s="2"/>
    </row>
    <row r="23" customFormat="false" ht="16.5" hidden="false" customHeight="false" outlineLevel="0" collapsed="false">
      <c r="A23" s="51" t="n">
        <v>9</v>
      </c>
      <c r="B23" s="52" t="s">
        <v>100</v>
      </c>
      <c r="C23" s="53" t="n">
        <f aca="false">SUMIFS('Income Log'!$E$6:$E$105,'Income Log'!$A$6:$A$105,"&gt;="&amp;DATE($C$4,$A23,1),'Income Log'!$A$6:$A$105,"&lt;"&amp;DATE($C$4,$A23+1,1))</f>
        <v>0</v>
      </c>
      <c r="D23" s="2"/>
      <c r="E23" s="2"/>
      <c r="F23" s="2"/>
      <c r="G23" s="2"/>
      <c r="H23" s="52" t="str">
        <f aca="false">IF(Settings!A26="","",Settings!A26)</f>
        <v/>
      </c>
      <c r="I23" s="53" t="str">
        <f aca="false">IF($H23="","",SUMIFS('Income Log'!$E$6:$E$105,'Income Log'!$B$6:$B$105,$H23,'Income Log'!$A$6:$A$105,"&gt;="&amp;DATE($C$4,1,1),'Income Log'!$A$6:$A$105,"&lt;"&amp;DATE($C$4+1,1,1)))</f>
        <v/>
      </c>
      <c r="J23" s="2"/>
      <c r="K23" s="2"/>
      <c r="L23" s="2"/>
      <c r="M23" s="2"/>
    </row>
    <row r="24" customFormat="false" ht="16.5" hidden="false" customHeight="false" outlineLevel="0" collapsed="false">
      <c r="A24" s="51" t="n">
        <v>10</v>
      </c>
      <c r="B24" s="52" t="s">
        <v>101</v>
      </c>
      <c r="C24" s="53" t="n">
        <f aca="false">SUMIFS('Income Log'!$E$6:$E$105,'Income Log'!$A$6:$A$105,"&gt;="&amp;DATE($C$4,$A24,1),'Income Log'!$A$6:$A$105,"&lt;"&amp;DATE($C$4,$A24+1,1))</f>
        <v>0</v>
      </c>
      <c r="D24" s="2"/>
      <c r="E24" s="2"/>
      <c r="F24" s="2"/>
      <c r="G24" s="2"/>
      <c r="H24" s="52" t="str">
        <f aca="false">IF(Settings!A27="","",Settings!A27)</f>
        <v/>
      </c>
      <c r="I24" s="53" t="str">
        <f aca="false">IF($H24="","",SUMIFS('Income Log'!$E$6:$E$105,'Income Log'!$B$6:$B$105,$H24,'Income Log'!$A$6:$A$105,"&gt;="&amp;DATE($C$4,1,1),'Income Log'!$A$6:$A$105,"&lt;"&amp;DATE($C$4+1,1,1)))</f>
        <v/>
      </c>
      <c r="J24" s="2"/>
      <c r="K24" s="2"/>
      <c r="L24" s="2"/>
      <c r="M24" s="2"/>
    </row>
    <row r="25" customFormat="false" ht="16.5" hidden="false" customHeight="false" outlineLevel="0" collapsed="false">
      <c r="A25" s="51" t="n">
        <v>11</v>
      </c>
      <c r="B25" s="52" t="s">
        <v>102</v>
      </c>
      <c r="C25" s="53" t="n">
        <f aca="false">SUMIFS('Income Log'!$E$6:$E$105,'Income Log'!$A$6:$A$105,"&gt;="&amp;DATE($C$4,$A25,1),'Income Log'!$A$6:$A$105,"&lt;"&amp;DATE($C$4,$A25+1,1))</f>
        <v>0</v>
      </c>
      <c r="D25" s="2"/>
      <c r="E25" s="2"/>
      <c r="F25" s="2"/>
      <c r="G25" s="2"/>
      <c r="H25" s="54" t="str">
        <f aca="false">IF(Settings!A28="","",Settings!A28)</f>
        <v/>
      </c>
      <c r="I25" s="55" t="str">
        <f aca="false">IF($H25="","",SUMIFS('Income Log'!$E$6:$E$105,'Income Log'!$B$6:$B$105,$H25,'Income Log'!$A$6:$A$105,"&gt;="&amp;DATE($C$4,1,1),'Income Log'!$A$6:$A$105,"&lt;"&amp;DATE($C$4+1,1,1)))</f>
        <v/>
      </c>
      <c r="J25" s="2"/>
      <c r="K25" s="2"/>
      <c r="L25" s="2"/>
      <c r="M25" s="2"/>
    </row>
    <row r="26" customFormat="false" ht="16.5" hidden="false" customHeight="false" outlineLevel="0" collapsed="false">
      <c r="A26" s="51" t="n">
        <v>12</v>
      </c>
      <c r="B26" s="52" t="s">
        <v>103</v>
      </c>
      <c r="C26" s="53" t="n">
        <f aca="false">SUMIFS('Income Log'!$E$6:$E$105,'Income Log'!$A$6:$A$105,"&gt;="&amp;DATE($C$4,$A26,1),'Income Log'!$A$6:$A$105,"&lt;"&amp;DATE($C$4,$A26+1,1))</f>
        <v>0</v>
      </c>
      <c r="D26" s="2"/>
      <c r="E26" s="2"/>
      <c r="F26" s="2"/>
      <c r="G26" s="2"/>
      <c r="H26" s="54" t="str">
        <f aca="false">IF(Settings!A29="","",Settings!A29)</f>
        <v/>
      </c>
      <c r="I26" s="55" t="str">
        <f aca="false">IF($H26="","",SUMIFS('Income Log'!$E$6:$E$105,'Income Log'!$B$6:$B$105,$H26,'Income Log'!$A$6:$A$105,"&gt;="&amp;DATE($C$4,1,1),'Income Log'!$A$6:$A$105,"&lt;"&amp;DATE($C$4+1,1,1)))</f>
        <v/>
      </c>
      <c r="J26" s="2"/>
      <c r="K26" s="2"/>
      <c r="L26" s="2"/>
      <c r="M26" s="2"/>
    </row>
    <row r="27" customFormat="false" ht="16.5" hidden="false" customHeight="false" outlineLevel="0" collapsed="false">
      <c r="A27" s="2"/>
      <c r="B27" s="2"/>
      <c r="C27" s="2"/>
      <c r="D27" s="2"/>
      <c r="E27" s="2"/>
      <c r="F27" s="2"/>
      <c r="G27" s="2"/>
      <c r="H27" s="54" t="str">
        <f aca="false">IF(Settings!A30="","",Settings!A30)</f>
        <v/>
      </c>
      <c r="I27" s="55" t="str">
        <f aca="false">IF($H27="","",SUMIFS('Income Log'!$E$6:$E$105,'Income Log'!$B$6:$B$105,$H27,'Income Log'!$A$6:$A$105,"&gt;="&amp;DATE($C$4,1,1),'Income Log'!$A$6:$A$105,"&lt;"&amp;DATE($C$4+1,1,1)))</f>
        <v/>
      </c>
      <c r="J27" s="2"/>
      <c r="K27" s="2"/>
      <c r="L27" s="2"/>
      <c r="M27" s="2"/>
    </row>
    <row r="28" customFormat="false" ht="16.5" hidden="false" customHeight="false" outlineLevel="0" collapsed="false">
      <c r="A28" s="2"/>
      <c r="B28" s="6" t="s">
        <v>104</v>
      </c>
      <c r="C28" s="2"/>
      <c r="D28" s="2"/>
      <c r="E28" s="2"/>
      <c r="F28" s="2"/>
      <c r="G28" s="2"/>
      <c r="H28" s="54" t="str">
        <f aca="false">IF(Settings!A31="","",Settings!A31)</f>
        <v/>
      </c>
      <c r="I28" s="55" t="str">
        <f aca="false">IF($H28="","",SUMIFS('Income Log'!$E$6:$E$105,'Income Log'!$B$6:$B$105,$H28,'Income Log'!$A$6:$A$105,"&gt;="&amp;DATE($C$4,1,1),'Income Log'!$A$6:$A$105,"&lt;"&amp;DATE($C$4+1,1,1)))</f>
        <v/>
      </c>
      <c r="J28" s="2"/>
      <c r="K28" s="2"/>
      <c r="L28" s="2"/>
      <c r="M28" s="2"/>
    </row>
    <row r="29" customFormat="false" ht="21.75" hidden="false" customHeight="true" outlineLevel="0" collapsed="false">
      <c r="A29" s="16" t="s">
        <v>89</v>
      </c>
      <c r="B29" s="16" t="s">
        <v>105</v>
      </c>
      <c r="C29" s="16" t="s">
        <v>91</v>
      </c>
      <c r="D29" s="16" t="s">
        <v>106</v>
      </c>
      <c r="E29" s="2"/>
      <c r="F29" s="2"/>
      <c r="G29" s="2"/>
      <c r="H29" s="54" t="str">
        <f aca="false">IF(Settings!A32="","",Settings!A32)</f>
        <v/>
      </c>
      <c r="I29" s="55" t="str">
        <f aca="false">IF($H29="","",SUMIFS('Income Log'!$E$6:$E$105,'Income Log'!$B$6:$B$105,$H29,'Income Log'!$A$6:$A$105,"&gt;="&amp;DATE($C$4,1,1),'Income Log'!$A$6:$A$105,"&lt;"&amp;DATE($C$4+1,1,1)))</f>
        <v/>
      </c>
      <c r="J29" s="2"/>
      <c r="K29" s="2"/>
      <c r="L29" s="2"/>
      <c r="M29" s="2"/>
    </row>
    <row r="30" customFormat="false" ht="16.5" hidden="false" customHeight="false" outlineLevel="0" collapsed="false">
      <c r="A30" s="51" t="n">
        <v>1</v>
      </c>
      <c r="B30" s="52" t="s">
        <v>107</v>
      </c>
      <c r="C30" s="53" t="n">
        <f aca="false">SUMIFS('Income Log'!$E$6:$E$105,'Income Log'!$A$6:$A$105,"&gt;="&amp;DATE($C$4,3*$A30-2,1),'Income Log'!$A$6:$A$105,"&lt;"&amp;DATE($C$4,3*$A30+1,1))</f>
        <v>2970</v>
      </c>
      <c r="D30" s="53" t="n">
        <f aca="false">SUMIFS('Income Log'!$E$6:$E$105,'Income Log'!$F$6:$F$105,"Paid",'Income Log'!$A$6:$A$105,"&gt;="&amp;DATE($C$4,3*$A30-2,1),'Income Log'!$A$6:$A$105,"&lt;"&amp;DATE($C$4,3*$A30+1,1))</f>
        <v>2370</v>
      </c>
      <c r="E30" s="2"/>
      <c r="F30" s="2"/>
      <c r="G30" s="2"/>
      <c r="H30" s="54" t="str">
        <f aca="false">IF(Settings!A33="","",Settings!A33)</f>
        <v/>
      </c>
      <c r="I30" s="55" t="str">
        <f aca="false">IF($H30="","",SUMIFS('Income Log'!$E$6:$E$105,'Income Log'!$B$6:$B$105,$H30,'Income Log'!$A$6:$A$105,"&gt;="&amp;DATE($C$4,1,1),'Income Log'!$A$6:$A$105,"&lt;"&amp;DATE($C$4+1,1,1)))</f>
        <v/>
      </c>
      <c r="J30" s="2"/>
      <c r="K30" s="2"/>
      <c r="L30" s="2"/>
      <c r="M30" s="2"/>
    </row>
    <row r="31" customFormat="false" ht="16.5" hidden="false" customHeight="false" outlineLevel="0" collapsed="false">
      <c r="A31" s="51" t="n">
        <v>2</v>
      </c>
      <c r="B31" s="52" t="s">
        <v>108</v>
      </c>
      <c r="C31" s="53" t="n">
        <f aca="false">SUMIFS('Income Log'!$E$6:$E$105,'Income Log'!$A$6:$A$105,"&gt;="&amp;DATE($C$4,3*$A31-2,1),'Income Log'!$A$6:$A$105,"&lt;"&amp;DATE($C$4,3*$A31+1,1))</f>
        <v>0</v>
      </c>
      <c r="D31" s="53" t="n">
        <f aca="false">SUMIFS('Income Log'!$E$6:$E$105,'Income Log'!$F$6:$F$105,"Paid",'Income Log'!$A$6:$A$105,"&gt;="&amp;DATE($C$4,3*$A31-2,1),'Income Log'!$A$6:$A$105,"&lt;"&amp;DATE($C$4,3*$A31+1,1))</f>
        <v>0</v>
      </c>
      <c r="E31" s="2"/>
      <c r="F31" s="2"/>
      <c r="G31" s="2"/>
      <c r="H31" s="54" t="str">
        <f aca="false">IF(Settings!A34="","",Settings!A34)</f>
        <v/>
      </c>
      <c r="I31" s="55" t="str">
        <f aca="false">IF($H31="","",SUMIFS('Income Log'!$E$6:$E$105,'Income Log'!$B$6:$B$105,$H31,'Income Log'!$A$6:$A$105,"&gt;="&amp;DATE($C$4,1,1),'Income Log'!$A$6:$A$105,"&lt;"&amp;DATE($C$4+1,1,1)))</f>
        <v/>
      </c>
      <c r="J31" s="2"/>
      <c r="K31" s="2"/>
      <c r="L31" s="2"/>
      <c r="M31" s="2"/>
    </row>
    <row r="32" customFormat="false" ht="16.5" hidden="false" customHeight="false" outlineLevel="0" collapsed="false">
      <c r="A32" s="51" t="n">
        <v>3</v>
      </c>
      <c r="B32" s="52" t="s">
        <v>109</v>
      </c>
      <c r="C32" s="53" t="n">
        <f aca="false">SUMIFS('Income Log'!$E$6:$E$105,'Income Log'!$A$6:$A$105,"&gt;="&amp;DATE($C$4,3*$A32-2,1),'Income Log'!$A$6:$A$105,"&lt;"&amp;DATE($C$4,3*$A32+1,1))</f>
        <v>0</v>
      </c>
      <c r="D32" s="53" t="n">
        <f aca="false">SUMIFS('Income Log'!$E$6:$E$105,'Income Log'!$F$6:$F$105,"Paid",'Income Log'!$A$6:$A$105,"&gt;="&amp;DATE($C$4,3*$A32-2,1),'Income Log'!$A$6:$A$105,"&lt;"&amp;DATE($C$4,3*$A32+1,1))</f>
        <v>0</v>
      </c>
      <c r="E32" s="2"/>
      <c r="F32" s="2"/>
      <c r="G32" s="2"/>
      <c r="H32" s="54" t="str">
        <f aca="false">IF(Settings!A35="","",Settings!A35)</f>
        <v/>
      </c>
      <c r="I32" s="55" t="str">
        <f aca="false">IF($H32="","",SUMIFS('Income Log'!$E$6:$E$105,'Income Log'!$B$6:$B$105,$H32,'Income Log'!$A$6:$A$105,"&gt;="&amp;DATE($C$4,1,1),'Income Log'!$A$6:$A$105,"&lt;"&amp;DATE($C$4+1,1,1)))</f>
        <v/>
      </c>
      <c r="J32" s="2"/>
      <c r="K32" s="2"/>
      <c r="L32" s="2"/>
      <c r="M32" s="2"/>
    </row>
    <row r="33" customFormat="false" ht="16.5" hidden="false" customHeight="false" outlineLevel="0" collapsed="false">
      <c r="A33" s="51" t="n">
        <v>4</v>
      </c>
      <c r="B33" s="52" t="s">
        <v>110</v>
      </c>
      <c r="C33" s="53" t="n">
        <f aca="false">SUMIFS('Income Log'!$E$6:$E$105,'Income Log'!$A$6:$A$105,"&gt;="&amp;DATE($C$4,3*$A33-2,1),'Income Log'!$A$6:$A$105,"&lt;"&amp;DATE($C$4,3*$A33+1,1))</f>
        <v>0</v>
      </c>
      <c r="D33" s="53" t="n">
        <f aca="false">SUMIFS('Income Log'!$E$6:$E$105,'Income Log'!$F$6:$F$105,"Paid",'Income Log'!$A$6:$A$105,"&gt;="&amp;DATE($C$4,3*$A33-2,1),'Income Log'!$A$6:$A$105,"&lt;"&amp;DATE($C$4,3*$A33+1,1))</f>
        <v>0</v>
      </c>
      <c r="E33" s="2"/>
      <c r="F33" s="2"/>
      <c r="G33" s="2"/>
      <c r="H33" s="54" t="str">
        <f aca="false">IF(Settings!A36="","",Settings!A36)</f>
        <v/>
      </c>
      <c r="I33" s="55" t="str">
        <f aca="false">IF($H33="","",SUMIFS('Income Log'!$E$6:$E$105,'Income Log'!$B$6:$B$105,$H33,'Income Log'!$A$6:$A$105,"&gt;="&amp;DATE($C$4,1,1),'Income Log'!$A$6:$A$105,"&lt;"&amp;DATE($C$4+1,1,1)))</f>
        <v/>
      </c>
      <c r="J33" s="2"/>
      <c r="K33" s="2"/>
      <c r="L33" s="2"/>
      <c r="M33" s="2"/>
    </row>
    <row r="34" customFormat="false" ht="16.5" hidden="false" customHeight="false" outlineLevel="0" collapsed="false">
      <c r="A34" s="2"/>
      <c r="B34" s="2"/>
      <c r="C34" s="2"/>
      <c r="D34" s="2"/>
      <c r="E34" s="2"/>
      <c r="F34" s="2"/>
      <c r="G34" s="2"/>
      <c r="H34" s="54" t="str">
        <f aca="false">IF(Settings!A37="","",Settings!A37)</f>
        <v/>
      </c>
      <c r="I34" s="55" t="str">
        <f aca="false">IF($H34="","",SUMIFS('Income Log'!$E$6:$E$105,'Income Log'!$B$6:$B$105,$H34,'Income Log'!$A$6:$A$105,"&gt;="&amp;DATE($C$4,1,1),'Income Log'!$A$6:$A$105,"&lt;"&amp;DATE($C$4+1,1,1)))</f>
        <v/>
      </c>
      <c r="J34" s="2"/>
      <c r="K34" s="2"/>
      <c r="L34" s="2"/>
      <c r="M34" s="2"/>
    </row>
    <row r="35" customFormat="false" ht="15.75" hidden="false" customHeight="true" outlineLevel="0" collapsed="false">
      <c r="A35" s="2"/>
      <c r="B35" s="56" t="s">
        <v>111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2"/>
    </row>
    <row r="36" customFormat="false" ht="24" hidden="false" customHeight="true" outlineLevel="0" collapsed="false">
      <c r="A36" s="2"/>
      <c r="B36" s="58" t="str">
        <f aca="false">IFERROR(IF($H$7=0,"Everything invoiced this year has been collected.",TEXT(COUNTIFS('Income Log'!$F$6:$F$105,"&lt;&gt;Paid",'Income Log'!$E$6:$E$105,"&gt;0",'Income Log'!$A$6:$A$105,"&gt;="&amp;DATE($C$4,1,1),'Income Log'!$A$6:$A$105,"&lt;"&amp;DATE($C$4+1,1,1)),"0")&amp;" invoice(s) worth "&amp;TEXT($H$7,"$#,##0")&amp;" are still unpaid."),"")</f>
        <v>1 invoice(s) worth $600 are still unpaid.</v>
      </c>
      <c r="C36" s="58"/>
      <c r="D36" s="58"/>
      <c r="E36" s="58"/>
      <c r="F36" s="58"/>
      <c r="G36" s="58"/>
      <c r="H36" s="58"/>
      <c r="I36" s="2"/>
      <c r="J36" s="2"/>
      <c r="K36" s="2"/>
      <c r="L36" s="2"/>
      <c r="M36" s="2"/>
    </row>
    <row r="37" customFormat="false" ht="24" hidden="false" customHeight="true" outlineLevel="0" collapsed="false">
      <c r="A37" s="2"/>
      <c r="B37" s="58" t="str">
        <f aca="false">IFERROR(IF(MAX($C$15:$C$26)=0,"","Busiest month: "&amp;INDEX($B$15:$B$26,MATCH(MAX($C$15:$C$26),$C$15:$C$26,0))&amp;" ("&amp;TEXT(MAX($C$15:$C$26),"$#,##0")&amp;" invoiced)."),"")</f>
        <v>Busiest month: January ($1,520 invoiced).</v>
      </c>
      <c r="C37" s="58"/>
      <c r="D37" s="58"/>
      <c r="E37" s="58"/>
      <c r="F37" s="58"/>
      <c r="G37" s="58"/>
      <c r="H37" s="58"/>
      <c r="I37" s="2"/>
      <c r="J37" s="2"/>
      <c r="K37" s="2"/>
      <c r="L37" s="2"/>
      <c r="M37" s="2"/>
    </row>
    <row r="38" customFormat="false" ht="24" hidden="false" customHeight="true" outlineLevel="0" collapsed="false">
      <c r="A38" s="2"/>
      <c r="B38" s="58" t="str">
        <f aca="true">IFERROR(IF($H$7=0,"","Oldest unpaid invoice is "&amp;TEXT(TODAY()-_xlfn.MINIFS('Income Log'!$A$6:$A$105,'Income Log'!$F$6:$F$105,"&lt;&gt;Paid",'Income Log'!$E$6:$E$105,"&gt;0"),"0")&amp;" days old — worth a nudge."),"")</f>
        <v>Oldest unpaid invoice is 163 days old — worth a nudge.</v>
      </c>
      <c r="C38" s="58"/>
      <c r="D38" s="58"/>
      <c r="E38" s="58"/>
      <c r="F38" s="58"/>
      <c r="G38" s="58"/>
      <c r="H38" s="58"/>
      <c r="I38" s="2"/>
      <c r="J38" s="2"/>
      <c r="K38" s="2"/>
      <c r="L38" s="2"/>
      <c r="M38" s="2"/>
    </row>
    <row r="39" customFormat="false" ht="24" hidden="false" customHeight="true" outlineLevel="0" collapsed="false">
      <c r="A39" s="2"/>
      <c r="B39" s="58" t="str">
        <f aca="false">IFERROR(IF($B$7=0,"","Top client: "&amp;INDEX($H$15:$H$34,MATCH(MAX($I$15:$I$34),$I$15:$I$34,0))&amp;" — "&amp;TEXT(MAX($I$15:$I$34)/$B$7,"0%")&amp;" of the year."),"")</f>
        <v>Top client: Acme Studios — 71% of the year.</v>
      </c>
      <c r="C39" s="58"/>
      <c r="D39" s="58"/>
      <c r="E39" s="58"/>
      <c r="F39" s="58"/>
      <c r="G39" s="58"/>
      <c r="H39" s="58"/>
      <c r="I39" s="2"/>
      <c r="J39" s="2"/>
      <c r="K39" s="2"/>
      <c r="L39" s="2"/>
      <c r="M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6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6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6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6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6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6.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6.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6.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6.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16.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16.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16.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16.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customFormat="false" ht="16.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16.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16.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16.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</sheetData>
  <sheetProtection sheet="true" formatCells="false" formatColumns="false" formatRows="false"/>
  <mergeCells count="22">
    <mergeCell ref="A1:L1"/>
    <mergeCell ref="A2:L2"/>
    <mergeCell ref="B6:C6"/>
    <mergeCell ref="E6:F6"/>
    <mergeCell ref="H6:I6"/>
    <mergeCell ref="K6:L6"/>
    <mergeCell ref="B7:C7"/>
    <mergeCell ref="E7:F7"/>
    <mergeCell ref="H7:I7"/>
    <mergeCell ref="K7:L7"/>
    <mergeCell ref="B9:C9"/>
    <mergeCell ref="E9:F9"/>
    <mergeCell ref="H9:I9"/>
    <mergeCell ref="K9:L9"/>
    <mergeCell ref="B10:C10"/>
    <mergeCell ref="E10:F10"/>
    <mergeCell ref="H10:I10"/>
    <mergeCell ref="K10:L10"/>
    <mergeCell ref="B36:H36"/>
    <mergeCell ref="B37:H37"/>
    <mergeCell ref="B38:H38"/>
    <mergeCell ref="B39:H39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2026-08-12T06:29:05Z</dcterms:created>
  <dc:creator>openpyxl</dc:creator>
  <dc:description/>
  <dc:language>en-US</dc:language>
  <cp:lastModifiedBy/>
  <dcterms:modified xsi:type="dcterms:W3CDTF">2026-08-12T06:29:20Z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