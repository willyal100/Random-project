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Budget" sheetId="2" state="visible" r:id="rId4"/>
  </sheets>
  <definedNames>
    <definedName function="false" hidden="false" localSheetId="1" name="_xlnm.Print_Area" vbProcedure="false">'My Budget'!$A$1:$L$30</definedName>
    <definedName function="false" hidden="false" localSheetId="0" name="_xlnm.Print_Area" vbProcedure="false">'Start Here'!$A$1:$H$23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<sst xmlns="http://schemas.openxmlformats.org/spreadsheetml/2006/main" count="39" uniqueCount="39">
  <si>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Simple Budget Starter</t>
  </si>
  <si>
    <t xml:space="preserve">The free five-minute budget — one page, no learning curve.</t>
  </si>
  <si>
    <t xml:space="preserve">Welcome!</t>
  </si>
  <si>
    <t xml:space="preserve">This is the simplest budget that actually works: set what you plan to spend, jot what you actually spent, and watch the Left column. That's the whole system.</t>
  </si>
  <si>
    <t xml:space="preserve">1.  Enter your monthly income</t>
  </si>
  <si>
    <t xml:space="preserve">Top of the My Budget tab — take-home, after tax.</t>
  </si>
  <si>
    <t xml:space="preserve">2.  Set a budget per category</t>
  </si>
  <si>
    <t xml:space="preserve">Twelve common categories are pre-loaded. Rename any of them to fit your life.</t>
  </si>
  <si>
    <t xml:space="preserve">3.  Update Spent as you go</t>
  </si>
  <si>
    <t xml:space="preserve">Once a week is plenty. The Left column and the chart update instantly.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</si>
  <si>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</si>
  <si>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</si>
  <si>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</si>
  <si>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Works in Microsoft Excel (2016 or newer) and Google Sheets (upload to Drive, then Open with Google Sheets).</t>
  </si>
  <si>
    <t xml:space="preserve">Want automatic month tracking, a year heatmap, savings goals, debt payoff, and bills? That's the full Personal Budget Dashboard — link on the page where you got this.</t>
  </si>
  <si>
    <t xml:space="preserve">My Budget</t>
  </si>
  <si>
    <t xml:space="preserve">Yellow cells are yours: income, budgets, and what you've spent.</t>
  </si>
  <si>
    <t xml:space="preserve">LEFT TO SPEND</t>
  </si>
  <si>
    <t xml:space="preserve">Monthly income</t>
  </si>
  <si>
    <t xml:space="preserve">Category</t>
  </si>
  <si>
    <t xml:space="preserve">Budget</t>
  </si>
  <si>
    <t xml:space="preserve">Spent</t>
  </si>
  <si>
    <t xml:space="preserve">Left</t>
  </si>
  <si>
    <t xml:space="preserve">% used</t>
  </si>
  <si>
    <t xml:space="preserve">Housing</t>
  </si>
  <si>
    <t xml:space="preserve">Groceries</t>
  </si>
  <si>
    <t xml:space="preserve">Dining out</t>
  </si>
  <si>
    <t xml:space="preserve">Transport</t>
  </si>
  <si>
    <t xml:space="preserve">Utilities</t>
  </si>
  <si>
    <t xml:space="preserve">Phone &amp; internet</t>
  </si>
  <si>
    <t xml:space="preserve">Subscriptions</t>
  </si>
  <si>
    <t xml:space="preserve">Shopping</t>
  </si>
  <si>
    <t xml:space="preserve">Health</t>
  </si>
  <si>
    <t xml:space="preserve">Fun</t>
  </si>
  <si>
    <t xml:space="preserve">Savings</t>
  </si>
  <si>
    <t xml:space="preserve">Everything else</t>
  </si>
  <si>
    <t xml:space="preserve">Total</t>
  </si>
  <si>
    <t xml:space="preserve">Unbudgeted income</t>
  </si>
  <si>
    <t xml:space="preserve">Aim for zero — give every dollar a job.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</si>
</sst>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i val="true"/>
      <sz val="10"/>
      <color rgb="FF2F9E6E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16"/>
      <color rgb="FF14634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2F9E6E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4634C"/>
        <bgColor rgb="FF008080"/>
      </patternFill>
    </fill>
    <fill>
      <patternFill patternType="solid">
        <fgColor rgb="FFF5F9F6"/>
        <bgColor rgb="FFF4F6FA"/>
      </patternFill>
    </fill>
    <fill>
      <patternFill patternType="solid">
        <fgColor rgb="FFFFF6DE"/>
        <bgColor rgb="FFF5F9F6"/>
      </patternFill>
    </fill>
    <fill>
      <patternFill patternType="solid">
        <fgColor rgb="FFF4F6FA"/>
        <bgColor rgb="FFF5F9F6"/>
      </patternFill>
    </fill>
    <fill>
      <patternFill patternType="solid">
        <fgColor rgb="FFFFFFFF"/>
        <bgColor rgb="FFF5F9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 style="thin">
        <color rgb="FFE3E8F0"/>
      </left>
      <right style="thin">
        <color rgb="FFE3E8F0"/>
      </right>
      <top style="thin">
        <color rgb="FFE3E8F0"/>
      </top>
      <bottom style="thin">
        <color rgb="FFE3E8F0"/>
      </bottom>
      <diagonal/>
    </border>
    <border diagonalUp="false" diagonalDown="false">
      <left/>
      <right/>
      <top style="medium">
        <color rgb="FF1F29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B3352C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34C"/>
      <rgbColor rgb="FFC0C0C0"/>
      <rgbColor rgb="FF878787"/>
      <rgbColor rgb="FF9999FF"/>
      <rgbColor rgb="FF993366"/>
      <rgbColor rgb="FFFFF6DE"/>
      <rgbColor rgb="FFE3E8F0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9E6"/>
      <rgbColor rgb="FFE5E7EB"/>
      <rgbColor rgb="FFF5F9F6"/>
      <rgbColor rgb="FF99CCFF"/>
      <rgbColor rgb="FFFF99CC"/>
      <rgbColor rgb="FFCC99FF"/>
      <rgbColor rgb="FFF4F6FA"/>
      <rgbColor rgb="FF3366FF"/>
      <rgbColor rgb="FF33CCCC"/>
      <rgbColor rgb="FF99CC00"/>
      <rgbColor rgb="FFFFCC00"/>
      <rgbColor rgb="FFFF9900"/>
      <rgbColor rgb="FFFF6600"/>
      <rgbColor rgb="FF6B7280"/>
      <rgbColor rgb="FF93A3B8"/>
      <rgbColor rgb="FF003366"/>
      <rgbColor rgb="FF2F9E6E"/>
      <rgbColor rgb="FF003300"/>
      <rgbColor rgb="FF333300"/>
      <rgbColor rgb="FFB3352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spent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'My Budget'!B7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'My Budget'!$A$8:$A$19</c:f>
              <c:strCache>
                <c:ptCount val="12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Subscriptions</c:v>
                </c:pt>
                <c:pt idx="7">
                  <c:v>Shopping</c:v>
                </c:pt>
                <c:pt idx="8">
                  <c:v>Health</c:v>
                </c:pt>
                <c:pt idx="9">
                  <c:v>Fun</c:v>
                </c:pt>
                <c:pt idx="10">
                  <c:v>Savings</c:v>
                </c:pt>
                <c:pt idx="11">
                  <c:v>Everything else</c:v>
                </c:pt>
              </c:strCache>
            </c:strRef>
          </c:cat>
          <c:val>
            <c:numRef>
              <c:f>'My Budget'!$B$8:$B$19</c:f>
              <c:numCache>
                <c:formatCode>\$#,##0</c:formatCode>
                <c:ptCount val="12"/>
                <c:pt idx="0">
                  <c:v>1400</c:v>
                </c:pt>
                <c:pt idx="1">
                  <c:v>450</c:v>
                </c:pt>
                <c:pt idx="2">
                  <c:v>180</c:v>
                </c:pt>
                <c:pt idx="3">
                  <c:v>160</c:v>
                </c:pt>
                <c:pt idx="4">
                  <c:v>150</c:v>
                </c:pt>
                <c:pt idx="5">
                  <c:v>90</c:v>
                </c:pt>
                <c:pt idx="6">
                  <c:v>45</c:v>
                </c:pt>
                <c:pt idx="7">
                  <c:v>120</c:v>
                </c:pt>
                <c:pt idx="8">
                  <c:v>80</c:v>
                </c:pt>
                <c:pt idx="9">
                  <c:v>100</c:v>
                </c:pt>
                <c:pt idx="10">
                  <c:v>400</c:v>
                </c:pt>
                <c:pt idx="11">
                  <c:v>120</c:v>
                </c:pt>
              </c:numCache>
            </c:numRef>
          </c:val>
        </c:ser>
        <c:ser>
          <c:idx val="1"/>
          <c:order val="1"/>
          <c:tx>
            <c:strRef>
              <c:f>'My Budget'!C7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f9e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'My Budget'!$A$8:$A$19</c:f>
              <c:strCache>
                <c:ptCount val="12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Subscriptions</c:v>
                </c:pt>
                <c:pt idx="7">
                  <c:v>Shopping</c:v>
                </c:pt>
                <c:pt idx="8">
                  <c:v>Health</c:v>
                </c:pt>
                <c:pt idx="9">
                  <c:v>Fun</c:v>
                </c:pt>
                <c:pt idx="10">
                  <c:v>Savings</c:v>
                </c:pt>
                <c:pt idx="11">
                  <c:v>Everything else</c:v>
                </c:pt>
              </c:strCache>
            </c:strRef>
          </c:cat>
          <c:val>
            <c:numRef>
              <c:f>'My Budget'!$C$8:$C$19</c:f>
              <c:numCache>
                <c:formatCode>\$#,##0</c:formatCode>
                <c:ptCount val="12"/>
                <c:pt idx="0">
                  <c:v>1400</c:v>
                </c:pt>
                <c:pt idx="1">
                  <c:v>210</c:v>
                </c:pt>
                <c:pt idx="2">
                  <c:v>95</c:v>
                </c:pt>
                <c:pt idx="3">
                  <c:v>40</c:v>
                </c:pt>
                <c:pt idx="4">
                  <c:v>150</c:v>
                </c:pt>
                <c:pt idx="5">
                  <c:v>90</c:v>
                </c:pt>
                <c:pt idx="6">
                  <c:v>45</c:v>
                </c:pt>
                <c:pt idx="7">
                  <c:v>30</c:v>
                </c:pt>
                <c:pt idx="8">
                  <c:v>0</c:v>
                </c:pt>
                <c:pt idx="9">
                  <c:v>65</c:v>
                </c:pt>
                <c:pt idx="10">
                  <c:v>400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205895"/>
        <c:axId val="31863839"/>
      </c:barChart>
      <c:catAx>
        <c:axId val="1205895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63839"/>
        <c:crosses val="autoZero"/>
        <c:auto val="1"/>
        <c:lblAlgn val="ctr"/>
        <c:lblOffset val="100"/>
        <c:noMultiLvlLbl val="0"/>
      </c:catAx>
      <c:valAx>
        <c:axId val="31863839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5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10</xdr:col>
      <xdr:colOff>552600</xdr:colOff>
      <xdr:row>24</xdr:row>
      <xdr:rowOff>149760</xdr:rowOff>
    </xdr:to>
    <xdr:graphicFrame>
      <xdr:nvGraphicFramePr>
        <xdr:cNvPr id="0" name="Chart 1"/>
        <xdr:cNvGraphicFramePr/>
      </xdr:nvGraphicFramePr>
      <xdr:xfrm>
        <a:off x="5779800" y="1495440"/>
        <a:ext cx="44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16.5" hidden="false" customHeight="false" outlineLevel="0" collapsed="false">
      <c r="A18" s="2"/>
      <c r="B18" s="7"/>
      <c r="C18" s="8" t="s">
        <v>11</v>
      </c>
      <c r="D18" s="2"/>
      <c r="E18" s="2"/>
      <c r="F18" s="2"/>
      <c r="G18" s="2"/>
      <c r="H18" s="2"/>
      <c r="I18" s="2"/>
      <c r="J18" s="2"/>
    </row>
    <row r="19" customFormat="false" ht="16.5" hidden="false" customHeight="false" outlineLevel="0" collapsed="false">
      <c r="A19" s="2"/>
      <c r="B19" s="9"/>
      <c r="C19" s="8" t="s">
        <v>12</v>
      </c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2"/>
      <c r="B21" s="10" t="s">
        <v>13</v>
      </c>
      <c r="C21" s="2"/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2"/>
      <c r="B22" s="11" t="s">
        <v>14</v>
      </c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sheetProtection sheet="true" formatCells="false" formatColumns="false" formatRows="false"/>
  <mergeCells count="6">
    <mergeCell ref="A1:H1"/>
    <mergeCell ref="A2:H2"/>
    <mergeCell ref="B5:H6"/>
    <mergeCell ref="C9:H9"/>
    <mergeCell ref="C12:H12"/>
    <mergeCell ref="C15:H15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10" min="7" style="0" width="14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customFormat="false" ht="15.75" hidden="false" customHeight="true" outlineLevel="0" collapsed="false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2"/>
      <c r="B4" s="2"/>
      <c r="C4" s="2"/>
      <c r="D4" s="12" t="s">
        <v>17</v>
      </c>
      <c r="E4" s="12"/>
      <c r="F4" s="2"/>
      <c r="G4" s="2"/>
      <c r="H4" s="2"/>
      <c r="I4" s="2"/>
      <c r="J4" s="2"/>
      <c r="K4" s="2"/>
      <c r="L4" s="2"/>
    </row>
    <row r="5" customFormat="false" ht="27.75" hidden="false" customHeight="true" outlineLevel="0" collapsed="false">
      <c r="A5" s="8" t="s">
        <v>18</v>
      </c>
      <c r="B5" s="13" t="n">
        <v>3800</v>
      </c>
      <c r="C5" s="2"/>
      <c r="D5" s="14" t="n">
        <f aca="false">B20-C20</f>
        <v>770</v>
      </c>
      <c r="E5" s="14"/>
      <c r="F5" s="2"/>
      <c r="G5" s="2"/>
      <c r="H5" s="2"/>
      <c r="I5" s="2"/>
      <c r="J5" s="2"/>
      <c r="K5" s="2"/>
      <c r="L5" s="2"/>
    </row>
    <row r="6" customFormat="false" ht="16.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9.5" hidden="false" customHeight="true" outlineLevel="0" collapsed="false">
      <c r="A7" s="15" t="s">
        <v>19</v>
      </c>
      <c r="B7" s="15" t="s">
        <v>20</v>
      </c>
      <c r="C7" s="15" t="s">
        <v>21</v>
      </c>
      <c r="D7" s="15" t="s">
        <v>22</v>
      </c>
      <c r="E7" s="15" t="s">
        <v>23</v>
      </c>
      <c r="F7" s="2"/>
      <c r="G7" s="2"/>
      <c r="H7" s="2"/>
      <c r="I7" s="2"/>
      <c r="J7" s="2"/>
      <c r="K7" s="2"/>
      <c r="L7" s="2"/>
    </row>
    <row r="8" customFormat="false" ht="16.5" hidden="false" customHeight="false" outlineLevel="0" collapsed="false">
      <c r="A8" s="16" t="s">
        <v>24</v>
      </c>
      <c r="B8" s="13" t="n">
        <v>1400</v>
      </c>
      <c r="C8" s="13" t="n">
        <v>1400</v>
      </c>
      <c r="D8" s="17" t="n">
        <f aca="false">IF($A8="","",IF($B8="",0,$B8)-IF($C8="",0,$C8))</f>
        <v>0</v>
      </c>
      <c r="E8" s="18" t="n">
        <f aca="false">IF(OR($A8="",$B8="",$B8=0),"",$C8/$B8)</f>
        <v>1</v>
      </c>
      <c r="F8" s="2"/>
      <c r="G8" s="2"/>
      <c r="H8" s="2"/>
      <c r="I8" s="2"/>
      <c r="J8" s="2"/>
      <c r="K8" s="2"/>
      <c r="L8" s="2"/>
    </row>
    <row r="9" customFormat="false" ht="16.5" hidden="false" customHeight="false" outlineLevel="0" collapsed="false">
      <c r="A9" s="16" t="s">
        <v>25</v>
      </c>
      <c r="B9" s="13" t="n">
        <v>450</v>
      </c>
      <c r="C9" s="13" t="n">
        <v>210</v>
      </c>
      <c r="D9" s="17" t="n">
        <f aca="false">IF($A9="","",IF($B9="",0,$B9)-IF($C9="",0,$C9))</f>
        <v>240</v>
      </c>
      <c r="E9" s="18" t="n">
        <f aca="false">IF(OR($A9="",$B9="",$B9=0),"",$C9/$B9)</f>
        <v>0.466666666666667</v>
      </c>
      <c r="F9" s="2"/>
      <c r="G9" s="2"/>
      <c r="H9" s="2"/>
      <c r="I9" s="2"/>
      <c r="J9" s="2"/>
      <c r="K9" s="2"/>
      <c r="L9" s="2"/>
    </row>
    <row r="10" customFormat="false" ht="16.5" hidden="false" customHeight="false" outlineLevel="0" collapsed="false">
      <c r="A10" s="16" t="s">
        <v>26</v>
      </c>
      <c r="B10" s="13" t="n">
        <v>180</v>
      </c>
      <c r="C10" s="13" t="n">
        <v>95</v>
      </c>
      <c r="D10" s="17" t="n">
        <f aca="false">IF($A10="","",IF($B10="",0,$B10)-IF($C10="",0,$C10))</f>
        <v>85</v>
      </c>
      <c r="E10" s="18" t="n">
        <f aca="false">IF(OR($A10="",$B10="",$B10=0),"",$C10/$B10)</f>
        <v>0.527777777777778</v>
      </c>
      <c r="F10" s="2"/>
      <c r="G10" s="2"/>
      <c r="H10" s="2"/>
      <c r="I10" s="2"/>
      <c r="J10" s="2"/>
      <c r="K10" s="2"/>
      <c r="L10" s="2"/>
    </row>
    <row r="11" customFormat="false" ht="16.5" hidden="false" customHeight="false" outlineLevel="0" collapsed="false">
      <c r="A11" s="16" t="s">
        <v>27</v>
      </c>
      <c r="B11" s="13" t="n">
        <v>160</v>
      </c>
      <c r="C11" s="13" t="n">
        <v>40</v>
      </c>
      <c r="D11" s="17" t="n">
        <f aca="false">IF($A11="","",IF($B11="",0,$B11)-IF($C11="",0,$C11))</f>
        <v>120</v>
      </c>
      <c r="E11" s="18" t="n">
        <f aca="false">IF(OR($A11="",$B11="",$B11=0),"",$C11/$B11)</f>
        <v>0.25</v>
      </c>
      <c r="F11" s="2"/>
      <c r="G11" s="2"/>
      <c r="H11" s="2"/>
      <c r="I11" s="2"/>
      <c r="J11" s="2"/>
      <c r="K11" s="2"/>
      <c r="L11" s="2"/>
    </row>
    <row r="12" customFormat="false" ht="16.5" hidden="false" customHeight="false" outlineLevel="0" collapsed="false">
      <c r="A12" s="16" t="s">
        <v>28</v>
      </c>
      <c r="B12" s="13" t="n">
        <v>150</v>
      </c>
      <c r="C12" s="13" t="n">
        <v>150</v>
      </c>
      <c r="D12" s="17" t="n">
        <f aca="false">IF($A12="","",IF($B12="",0,$B12)-IF($C12="",0,$C12))</f>
        <v>0</v>
      </c>
      <c r="E12" s="18" t="n">
        <f aca="false">IF(OR($A12="",$B12="",$B12=0),"",$C12/$B12)</f>
        <v>1</v>
      </c>
      <c r="F12" s="2"/>
      <c r="G12" s="2"/>
      <c r="H12" s="2"/>
      <c r="I12" s="2"/>
      <c r="J12" s="2"/>
      <c r="K12" s="2"/>
      <c r="L12" s="2"/>
    </row>
    <row r="13" customFormat="false" ht="16.5" hidden="false" customHeight="false" outlineLevel="0" collapsed="false">
      <c r="A13" s="16" t="s">
        <v>29</v>
      </c>
      <c r="B13" s="13" t="n">
        <v>90</v>
      </c>
      <c r="C13" s="13" t="n">
        <v>90</v>
      </c>
      <c r="D13" s="17" t="n">
        <f aca="false">IF($A13="","",IF($B13="",0,$B13)-IF($C13="",0,$C13))</f>
        <v>0</v>
      </c>
      <c r="E13" s="18" t="n">
        <f aca="false">IF(OR($A13="",$B13="",$B13=0),"",$C13/$B13)</f>
        <v>1</v>
      </c>
      <c r="F13" s="2"/>
      <c r="G13" s="2"/>
      <c r="H13" s="2"/>
      <c r="I13" s="2"/>
      <c r="J13" s="2"/>
      <c r="K13" s="2"/>
      <c r="L13" s="2"/>
    </row>
    <row r="14" customFormat="false" ht="16.5" hidden="false" customHeight="false" outlineLevel="0" collapsed="false">
      <c r="A14" s="16" t="s">
        <v>30</v>
      </c>
      <c r="B14" s="13" t="n">
        <v>45</v>
      </c>
      <c r="C14" s="13" t="n">
        <v>45</v>
      </c>
      <c r="D14" s="17" t="n">
        <f aca="false">IF($A14="","",IF($B14="",0,$B14)-IF($C14="",0,$C14))</f>
        <v>0</v>
      </c>
      <c r="E14" s="18" t="n">
        <f aca="false">IF(OR($A14="",$B14="",$B14=0),"",$C14/$B14)</f>
        <v>1</v>
      </c>
      <c r="F14" s="2"/>
      <c r="G14" s="2"/>
      <c r="H14" s="2"/>
      <c r="I14" s="2"/>
      <c r="J14" s="2"/>
      <c r="K14" s="2"/>
      <c r="L14" s="2"/>
    </row>
    <row r="15" customFormat="false" ht="16.5" hidden="false" customHeight="false" outlineLevel="0" collapsed="false">
      <c r="A15" s="16" t="s">
        <v>31</v>
      </c>
      <c r="B15" s="13" t="n">
        <v>120</v>
      </c>
      <c r="C15" s="13" t="n">
        <v>30</v>
      </c>
      <c r="D15" s="17" t="n">
        <f aca="false">IF($A15="","",IF($B15="",0,$B15)-IF($C15="",0,$C15))</f>
        <v>90</v>
      </c>
      <c r="E15" s="18" t="n">
        <f aca="false">IF(OR($A15="",$B15="",$B15=0),"",$C15/$B15)</f>
        <v>0.25</v>
      </c>
      <c r="F15" s="2"/>
      <c r="G15" s="2"/>
      <c r="H15" s="2"/>
      <c r="I15" s="2"/>
      <c r="J15" s="2"/>
      <c r="K15" s="2"/>
      <c r="L15" s="2"/>
    </row>
    <row r="16" customFormat="false" ht="16.5" hidden="false" customHeight="false" outlineLevel="0" collapsed="false">
      <c r="A16" s="16" t="s">
        <v>32</v>
      </c>
      <c r="B16" s="13" t="n">
        <v>80</v>
      </c>
      <c r="C16" s="13" t="n">
        <v>0</v>
      </c>
      <c r="D16" s="17" t="n">
        <f aca="false">IF($A16="","",IF($B16="",0,$B16)-IF($C16="",0,$C16))</f>
        <v>80</v>
      </c>
      <c r="E16" s="18" t="n">
        <f aca="false">IF(OR($A16="",$B16="",$B16=0),"",$C16/$B16)</f>
        <v>0</v>
      </c>
      <c r="F16" s="2"/>
      <c r="G16" s="2"/>
      <c r="H16" s="2"/>
      <c r="I16" s="2"/>
      <c r="J16" s="2"/>
      <c r="K16" s="2"/>
      <c r="L16" s="2"/>
    </row>
    <row r="17" customFormat="false" ht="16.5" hidden="false" customHeight="false" outlineLevel="0" collapsed="false">
      <c r="A17" s="16" t="s">
        <v>33</v>
      </c>
      <c r="B17" s="13" t="n">
        <v>100</v>
      </c>
      <c r="C17" s="13" t="n">
        <v>65</v>
      </c>
      <c r="D17" s="17" t="n">
        <f aca="false">IF($A17="","",IF($B17="",0,$B17)-IF($C17="",0,$C17))</f>
        <v>35</v>
      </c>
      <c r="E17" s="18" t="n">
        <f aca="false">IF(OR($A17="",$B17="",$B17=0),"",$C17/$B17)</f>
        <v>0.65</v>
      </c>
      <c r="F17" s="2"/>
      <c r="G17" s="2"/>
      <c r="H17" s="2"/>
      <c r="I17" s="2"/>
      <c r="J17" s="2"/>
      <c r="K17" s="2"/>
      <c r="L17" s="2"/>
    </row>
    <row r="18" customFormat="false" ht="16.5" hidden="false" customHeight="false" outlineLevel="0" collapsed="false">
      <c r="A18" s="16" t="s">
        <v>34</v>
      </c>
      <c r="B18" s="13" t="n">
        <v>400</v>
      </c>
      <c r="C18" s="13" t="n">
        <v>400</v>
      </c>
      <c r="D18" s="17" t="n">
        <f aca="false">IF($A18="","",IF($B18="",0,$B18)-IF($C18="",0,$C18))</f>
        <v>0</v>
      </c>
      <c r="E18" s="18" t="n">
        <f aca="false">IF(OR($A18="",$B18="",$B18=0),"",$C18/$B18)</f>
        <v>1</v>
      </c>
      <c r="F18" s="2"/>
      <c r="G18" s="2"/>
      <c r="H18" s="2"/>
      <c r="I18" s="2"/>
      <c r="J18" s="2"/>
      <c r="K18" s="2"/>
      <c r="L18" s="2"/>
    </row>
    <row r="19" customFormat="false" ht="16.5" hidden="false" customHeight="false" outlineLevel="0" collapsed="false">
      <c r="A19" s="16" t="s">
        <v>35</v>
      </c>
      <c r="B19" s="13" t="n">
        <v>120</v>
      </c>
      <c r="C19" s="13" t="n">
        <v>0</v>
      </c>
      <c r="D19" s="17" t="n">
        <f aca="false">IF($A19="","",IF($B19="",0,$B19)-IF($C19="",0,$C19))</f>
        <v>120</v>
      </c>
      <c r="E19" s="18" t="n">
        <f aca="false">IF(OR($A19="",$B19="",$B19=0),"",$C19/$B19)</f>
        <v>0</v>
      </c>
      <c r="F19" s="2"/>
      <c r="G19" s="2"/>
      <c r="H19" s="2"/>
      <c r="I19" s="2"/>
      <c r="J19" s="2"/>
      <c r="K19" s="2"/>
      <c r="L19" s="2"/>
    </row>
    <row r="20" customFormat="false" ht="16.5" hidden="false" customHeight="false" outlineLevel="0" collapsed="false">
      <c r="A20" s="19" t="s">
        <v>36</v>
      </c>
      <c r="B20" s="20" t="n">
        <f aca="false">SUM(B8:B19)</f>
        <v>3295</v>
      </c>
      <c r="C20" s="20" t="n">
        <f aca="false">SUM(C8:C19)</f>
        <v>2525</v>
      </c>
      <c r="D20" s="20" t="n">
        <f aca="false">B20-C20</f>
        <v>770</v>
      </c>
      <c r="E20" s="2"/>
      <c r="F20" s="2"/>
      <c r="G20" s="2"/>
      <c r="H20" s="2"/>
      <c r="I20" s="2"/>
      <c r="J20" s="2"/>
      <c r="K20" s="2"/>
      <c r="L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6.5" hidden="false" customHeight="false" outlineLevel="0" collapsed="false">
      <c r="A22" s="8" t="s">
        <v>37</v>
      </c>
      <c r="B22" s="21" t="n">
        <f aca="false">B5-B20</f>
        <v>505</v>
      </c>
      <c r="C22" s="22" t="s">
        <v>38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sheetProtection sheet="true" formatCells="false" formatColumns="false" formatRows="false"/>
  <mergeCells count="4">
    <mergeCell ref="A1:J1"/>
    <mergeCell ref="A2:J2"/>
    <mergeCell ref="D4:E4"/>
    <mergeCell ref="D5:E5"/>
  </mergeCells>
  <conditionalFormatting sqref="E8:E19">
    <cfRule type="cellIs" priority="2" operator="greaterThanOrEqual" aboveAverage="0" equalAverage="0" bottom="0" percent="0" rank="0" text="" dxfId="0">
      <formula>1</formula>
    </cfRule>
    <cfRule type="dataBar" priority="3">
      <dataBar showValue="1" minLength="10" maxLength="90">
        <cfvo type="num" val="0"/>
        <cfvo type="num" val="1"/>
        <color rgb="FF2F9E6E"/>
      </dataBar>
      <extLst>
        <ext xmlns:x14="http://schemas.microsoft.com/office/spreadsheetml/2009/9/main" uri="{B025F937-C7B1-47D3-B67F-A62EFF666E3E}">
          <x14:id>{AD195614-C5D8-409E-92EF-D395FBCCD715}</x14:id>
        </ext>
      </extLst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195614-C5D8-409E-92EF-D395FBCCD71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9E6E"/>
              <x14:axisColor rgb="FF000000"/>
            </x14:dataBar>
          </x14:cfRule>
          <xm:sqref>E8:E19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2026-08-11T22:24:30Z</dcterms:created>
  <dc:creator>openpyxl</dc:creator>
  <dc:description/>
  <dc:language>en-US</dc:language>
  <cp:lastModifiedBy/>
  <dcterms:modified xsi:type="dcterms:W3CDTF">2026-08-11T22:24:31Z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