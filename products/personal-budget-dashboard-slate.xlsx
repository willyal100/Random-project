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Dashboard!$A$1:$O$39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<sst xmlns="http://schemas.openxmlformats.org/spreadsheetml/2006/main" count="178" uniqueCount="146">
  <si>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</si>
  <si>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</si>
  <si>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</si>
  <si>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</si>
  <si>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</si>
  <si>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</si>
  <si>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</si>
  <si>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</si>
  <si>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</si>
  <si>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</si>
  <si>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</si>
  <si>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</si>
  <si>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</si>
  <si>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</si>
  <si>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</si>
  <si>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</si>
  <si>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</si>
  <si>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</si>
  <si>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</si>
  <si>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</si>
  <si>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</si>
  <si>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</si>
  <si>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</si>
  <si>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</si>
  <si>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</si>
  <si>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</si>
  <si>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</si>
  <si>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</si>
  <si>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</si>
  <si>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</si>
  <si>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</si>
  <si>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</si>
  <si>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</si>
  <si>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</si>
  <si>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</si>
  <si>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</si>
  <si>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</si>
  <si>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</si>
  <si>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</si>
  <si>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</si>
  <si>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</si>
  <si>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</si>
  <si>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</si>
  <si>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</si>
  <si>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</si>
  <si>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</si>
  <si>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</si>
  <si>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</si>
  <si>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</si>
  <si>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</si>
  <si>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</si>
  <si>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</si>
  <si>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</si>
  <si>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</si>
  <si>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</si>
  <si>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</si>
  <si>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</si>
  <si>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</si>
  <si>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</si>
  <si>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</si>
  <si>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</si>
  <si>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</si>
  <si>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</si>
  <si>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</si>
  <si>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</si>
  <si>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</si>
  <si>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</si>
  <si>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</si>
  <si>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</si>
  <si>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</si>
  <si>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</si>
  <si>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</si>
  <si>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</si>
  <si>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</si>
  <si>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</si>
  <si>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</si>
  <si>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</si>
  <si>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</si>
  <si>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</si>
  <si>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</si>
  <si>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</si>
  <si>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</si>
  <si>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</si>
  <si>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</si>
  <si>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</si>
  <si>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</si>
  <si>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</si>
  <si>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</si>
  <si>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</si>
  <si>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</si>
  <si>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</si>
  <si>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</si>
  <si>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</si>
  <si>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</si>
  <si>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</si>
  <si>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</si>
  <si>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</si>
  <si>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</si>
  <si>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</si>
  <si>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</si>
  <si>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</si>
  <si>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</si>
  <si>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</si>
  <si>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</si>
  <si>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</si>
  <si>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</si>
  <si>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</si>
  <si>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</si>
  <si>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</si>
  <si>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</si>
  <si>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</si>
  <si>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</si>
  <si>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INSIGHTS — written automatically from your numbers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</si>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</sst>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9"/>
      <color rgb="FF33415C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33415C"/>
      <name val="Calibri"/>
      <family val="0"/>
      <charset val="1"/>
    </font>
    <font>
      <sz val="10"/>
      <color rgb="FF33415C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5B7A9D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b val="true"/>
      <sz val="18"/>
      <color rgb="FF5B7A9D"/>
      <name val="Calibri"/>
      <family val="0"/>
      <charset val="1"/>
    </font>
    <font>
      <b val="true"/>
      <sz val="18"/>
      <color rgb="FF33415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33415C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3415C"/>
        <bgColor rgb="FF1F2937"/>
      </patternFill>
    </fill>
    <fill>
      <patternFill patternType="solid">
        <fgColor rgb="FFF5F7FA"/>
        <bgColor rgb="FFF4F6FA"/>
      </patternFill>
    </fill>
    <fill>
      <patternFill patternType="solid">
        <fgColor rgb="FFFFF6DE"/>
        <bgColor rgb="FFF5F7FA"/>
      </patternFill>
    </fill>
    <fill>
      <patternFill patternType="solid">
        <fgColor rgb="FFF4F6FA"/>
        <bgColor rgb="FFF5F7FA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7FA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BEE"/>
      </bottom>
      <diagonal/>
    </border>
    <border diagonalUp="false" diagonalDown="false">
      <left/>
      <right/>
      <top/>
      <bottom style="medium">
        <color rgb="FF33415C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/>
      <right/>
      <top/>
      <bottom style="thin">
        <color rgb="FFE3E8F0"/>
      </bottom>
      <diagonal/>
    </border>
    <border diagonalUp="false" diagonalDown="false">
      <left/>
      <right/>
      <top/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33415C"/>
          <bgColor rgb="FF000000"/>
        </patternFill>
      </fill>
    </dxf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008080"/>
      <rgbColor rgb="FFF4F6FA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E3E8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BEE"/>
      <rgbColor rgb="FFE4E9E6"/>
      <rgbColor rgb="FFF5F7FA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5B7A9D"/>
      <rgbColor rgb="FF003300"/>
      <rgbColor rgb="FF333300"/>
      <rgbColor rgb="FFB3352C"/>
      <rgbColor rgb="FF993366"/>
      <rgbColor rgb="FF33415C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5b7a9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59770013"/>
        <c:axId val="31218928"/>
      </c:barChart>
      <c:catAx>
        <c:axId val="59770013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18928"/>
        <c:crosses val="autoZero"/>
        <c:auto val="1"/>
        <c:lblAlgn val="ctr"/>
        <c:lblOffset val="100"/>
        <c:noMultiLvlLbl val="0"/>
      </c:catAx>
      <c:valAx>
        <c:axId val="31218928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700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5b7a9d"/>
            </a:solidFill>
            <a:ln w="28080">
              <a:solidFill>
                <a:srgbClr val="5b7a9d"/>
              </a:solidFill>
              <a:round/>
            </a:ln>
          </c:spPr>
          <c:marker>
            <c:symbol val="circle"/>
            <c:size val="6"/>
            <c:spPr>
              <a:solidFill>
                <a:srgbClr val="5b7a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101407"/>
        <c:axId val="57117488"/>
      </c:lineChart>
      <c:catAx>
        <c:axId val="1510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17488"/>
        <c:crosses val="autoZero"/>
        <c:auto val="1"/>
        <c:lblAlgn val="ctr"/>
        <c:lblOffset val="100"/>
        <c:noMultiLvlLbl val="0"/>
      </c:catAx>
      <c:valAx>
        <c:axId val="57117488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014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32400</xdr:rowOff>
    </xdr:to>
    <xdr:graphicFrame>
      <xdr:nvGraphicFramePr>
        <xdr:cNvPr id="0" name="Chart 1"/>
        <xdr:cNvGraphicFramePr/>
      </xdr:nvGraphicFramePr>
      <xdr:xfrm>
        <a:off x="5356800" y="240984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95040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xLog" displayName="TxLog" ref="A5:D305" headerRowCount="1" totalsRowCount="0" totalsRowShown="0">
  <autoFilter ref="A5:D305"/>
  <tableColumns count="4">
    <tableColumn id="1" name="Date"/>
    <tableColumn id="2" name="Description"/>
    <tableColumn id="3" name="Category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21.7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21.7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21.7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21.7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47038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46764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21.75" hidden="false" customHeight="true" outlineLevel="0" collapsed="false">
      <c r="A5" s="34" t="s">
        <v>92</v>
      </c>
      <c r="B5" s="34" t="s">
        <v>93</v>
      </c>
      <c r="C5" s="34" t="s">
        <v>33</v>
      </c>
      <c r="D5" s="34" t="s">
        <v>55</v>
      </c>
    </row>
    <row r="6" customFormat="false" ht="16.5" hidden="false" customHeight="false" outlineLevel="0" collapsed="false">
      <c r="A6" s="35" t="n">
        <v>46204</v>
      </c>
      <c r="B6" s="36" t="s">
        <v>59</v>
      </c>
      <c r="C6" s="36" t="s">
        <v>35</v>
      </c>
      <c r="D6" s="37" t="n">
        <v>1600</v>
      </c>
    </row>
    <row r="7" customFormat="false" ht="16.5" hidden="false" customHeight="false" outlineLevel="0" collapsed="false">
      <c r="A7" s="38" t="n">
        <v>46209</v>
      </c>
      <c r="B7" s="39" t="s">
        <v>94</v>
      </c>
      <c r="C7" s="39" t="s">
        <v>36</v>
      </c>
      <c r="D7" s="40" t="n">
        <v>96.4</v>
      </c>
    </row>
    <row r="8" customFormat="false" ht="16.5" hidden="false" customHeight="false" outlineLevel="0" collapsed="false">
      <c r="A8" s="35" t="n">
        <v>46221</v>
      </c>
      <c r="B8" s="36" t="s">
        <v>95</v>
      </c>
      <c r="C8" s="36" t="s">
        <v>43</v>
      </c>
      <c r="D8" s="37" t="n">
        <v>89</v>
      </c>
    </row>
    <row r="9" customFormat="false" ht="16.5" hidden="false" customHeight="false" outlineLevel="0" collapsed="false">
      <c r="A9" s="38" t="n">
        <v>46227</v>
      </c>
      <c r="B9" s="39" t="s">
        <v>96</v>
      </c>
      <c r="C9" s="39" t="s">
        <v>36</v>
      </c>
      <c r="D9" s="40" t="n">
        <v>88.1</v>
      </c>
    </row>
    <row r="10" customFormat="false" ht="16.5" hidden="false" customHeight="false" outlineLevel="0" collapsed="false">
      <c r="A10" s="35" t="n">
        <v>46235</v>
      </c>
      <c r="B10" s="36" t="s">
        <v>59</v>
      </c>
      <c r="C10" s="36" t="s">
        <v>35</v>
      </c>
      <c r="D10" s="37" t="n">
        <v>1600</v>
      </c>
    </row>
    <row r="11" customFormat="false" ht="16.5" hidden="false" customHeight="false" outlineLevel="0" collapsed="false">
      <c r="A11" s="38" t="n">
        <v>46237</v>
      </c>
      <c r="B11" s="39" t="s">
        <v>97</v>
      </c>
      <c r="C11" s="39" t="s">
        <v>36</v>
      </c>
      <c r="D11" s="40" t="n">
        <v>84.2</v>
      </c>
    </row>
    <row r="12" customFormat="false" ht="16.5" hidden="false" customHeight="false" outlineLevel="0" collapsed="false">
      <c r="A12" s="35" t="n">
        <v>46239</v>
      </c>
      <c r="B12" s="36" t="s">
        <v>98</v>
      </c>
      <c r="C12" s="36" t="s">
        <v>38</v>
      </c>
      <c r="D12" s="37" t="n">
        <v>42.5</v>
      </c>
    </row>
    <row r="13" customFormat="false" ht="16.5" hidden="false" customHeight="false" outlineLevel="0" collapsed="false">
      <c r="A13" s="38" t="n">
        <v>46242</v>
      </c>
      <c r="B13" s="39" t="s">
        <v>99</v>
      </c>
      <c r="C13" s="39" t="s">
        <v>37</v>
      </c>
      <c r="D13" s="40" t="n">
        <v>56.8</v>
      </c>
    </row>
    <row r="14" customFormat="false" ht="16.5" hidden="false" customHeight="false" outlineLevel="0" collapsed="false">
      <c r="A14" s="35"/>
      <c r="B14" s="36"/>
      <c r="C14" s="36"/>
      <c r="D14" s="37"/>
    </row>
    <row r="15" customFormat="false" ht="16.5" hidden="false" customHeight="false" outlineLevel="0" collapsed="false">
      <c r="A15" s="38"/>
      <c r="B15" s="39"/>
      <c r="C15" s="39"/>
      <c r="D15" s="40"/>
    </row>
    <row r="16" customFormat="false" ht="16.5" hidden="false" customHeight="false" outlineLevel="0" collapsed="false">
      <c r="A16" s="35"/>
      <c r="B16" s="36"/>
      <c r="C16" s="36"/>
      <c r="D16" s="37"/>
    </row>
    <row r="17" customFormat="false" ht="16.5" hidden="false" customHeight="false" outlineLevel="0" collapsed="false">
      <c r="A17" s="38"/>
      <c r="B17" s="39"/>
      <c r="C17" s="39"/>
      <c r="D17" s="40"/>
    </row>
    <row r="18" customFormat="false" ht="16.5" hidden="false" customHeight="false" outlineLevel="0" collapsed="false">
      <c r="A18" s="35"/>
      <c r="B18" s="36"/>
      <c r="C18" s="36"/>
      <c r="D18" s="37"/>
    </row>
    <row r="19" customFormat="false" ht="16.5" hidden="false" customHeight="false" outlineLevel="0" collapsed="false">
      <c r="A19" s="38"/>
      <c r="B19" s="39"/>
      <c r="C19" s="39"/>
      <c r="D19" s="40"/>
    </row>
    <row r="20" customFormat="false" ht="16.5" hidden="false" customHeight="false" outlineLevel="0" collapsed="false">
      <c r="A20" s="35"/>
      <c r="B20" s="36"/>
      <c r="C20" s="36"/>
      <c r="D20" s="37"/>
    </row>
    <row r="21" customFormat="false" ht="16.5" hidden="false" customHeight="false" outlineLevel="0" collapsed="false">
      <c r="A21" s="38"/>
      <c r="B21" s="39"/>
      <c r="C21" s="39"/>
      <c r="D21" s="40"/>
    </row>
    <row r="22" customFormat="false" ht="16.5" hidden="false" customHeight="false" outlineLevel="0" collapsed="false">
      <c r="A22" s="35"/>
      <c r="B22" s="36"/>
      <c r="C22" s="36"/>
      <c r="D22" s="37"/>
    </row>
    <row r="23" customFormat="false" ht="16.5" hidden="false" customHeight="false" outlineLevel="0" collapsed="false">
      <c r="A23" s="38"/>
      <c r="B23" s="39"/>
      <c r="C23" s="39"/>
      <c r="D23" s="40"/>
    </row>
    <row r="24" customFormat="false" ht="16.5" hidden="false" customHeight="false" outlineLevel="0" collapsed="false">
      <c r="A24" s="35"/>
      <c r="B24" s="36"/>
      <c r="C24" s="36"/>
      <c r="D24" s="37"/>
    </row>
    <row r="25" customFormat="false" ht="16.5" hidden="false" customHeight="false" outlineLevel="0" collapsed="false">
      <c r="A25" s="38"/>
      <c r="B25" s="39"/>
      <c r="C25" s="39"/>
      <c r="D25" s="40"/>
    </row>
    <row r="26" customFormat="false" ht="16.5" hidden="false" customHeight="false" outlineLevel="0" collapsed="false">
      <c r="A26" s="35"/>
      <c r="B26" s="36"/>
      <c r="C26" s="36"/>
      <c r="D26" s="37"/>
    </row>
    <row r="27" customFormat="false" ht="16.5" hidden="false" customHeight="false" outlineLevel="0" collapsed="false">
      <c r="A27" s="38"/>
      <c r="B27" s="39"/>
      <c r="C27" s="39"/>
      <c r="D27" s="40"/>
    </row>
    <row r="28" customFormat="false" ht="16.5" hidden="false" customHeight="false" outlineLevel="0" collapsed="false">
      <c r="A28" s="35"/>
      <c r="B28" s="36"/>
      <c r="C28" s="36"/>
      <c r="D28" s="37"/>
    </row>
    <row r="29" customFormat="false" ht="16.5" hidden="false" customHeight="false" outlineLevel="0" collapsed="false">
      <c r="A29" s="38"/>
      <c r="B29" s="39"/>
      <c r="C29" s="39"/>
      <c r="D29" s="40"/>
    </row>
    <row r="30" customFormat="false" ht="16.5" hidden="false" customHeight="false" outlineLevel="0" collapsed="false">
      <c r="A30" s="35"/>
      <c r="B30" s="36"/>
      <c r="C30" s="36"/>
      <c r="D30" s="37"/>
    </row>
    <row r="31" customFormat="false" ht="16.5" hidden="false" customHeight="false" outlineLevel="0" collapsed="false">
      <c r="A31" s="38"/>
      <c r="B31" s="39"/>
      <c r="C31" s="39"/>
      <c r="D31" s="40"/>
    </row>
    <row r="32" customFormat="false" ht="16.5" hidden="false" customHeight="false" outlineLevel="0" collapsed="false">
      <c r="A32" s="35"/>
      <c r="B32" s="36"/>
      <c r="C32" s="36"/>
      <c r="D32" s="37"/>
    </row>
    <row r="33" customFormat="false" ht="16.5" hidden="false" customHeight="false" outlineLevel="0" collapsed="false">
      <c r="A33" s="38"/>
      <c r="B33" s="39"/>
      <c r="C33" s="39"/>
      <c r="D33" s="40"/>
    </row>
    <row r="34" customFormat="false" ht="16.5" hidden="false" customHeight="false" outlineLevel="0" collapsed="false">
      <c r="A34" s="35"/>
      <c r="B34" s="36"/>
      <c r="C34" s="36"/>
      <c r="D34" s="37"/>
    </row>
    <row r="35" customFormat="false" ht="16.5" hidden="false" customHeight="false" outlineLevel="0" collapsed="false">
      <c r="A35" s="38"/>
      <c r="B35" s="39"/>
      <c r="C35" s="39"/>
      <c r="D35" s="40"/>
    </row>
    <row r="36" customFormat="false" ht="16.5" hidden="false" customHeight="false" outlineLevel="0" collapsed="false">
      <c r="A36" s="35"/>
      <c r="B36" s="36"/>
      <c r="C36" s="36"/>
      <c r="D36" s="37"/>
    </row>
    <row r="37" customFormat="false" ht="16.5" hidden="false" customHeight="false" outlineLevel="0" collapsed="false">
      <c r="A37" s="38"/>
      <c r="B37" s="39"/>
      <c r="C37" s="39"/>
      <c r="D37" s="40"/>
    </row>
    <row r="38" customFormat="false" ht="16.5" hidden="false" customHeight="false" outlineLevel="0" collapsed="false">
      <c r="A38" s="35"/>
      <c r="B38" s="36"/>
      <c r="C38" s="36"/>
      <c r="D38" s="37"/>
    </row>
    <row r="39" customFormat="false" ht="16.5" hidden="false" customHeight="false" outlineLevel="0" collapsed="false">
      <c r="A39" s="38"/>
      <c r="B39" s="39"/>
      <c r="C39" s="39"/>
      <c r="D39" s="40"/>
    </row>
    <row r="40" customFormat="false" ht="16.5" hidden="false" customHeight="false" outlineLevel="0" collapsed="false">
      <c r="A40" s="35"/>
      <c r="B40" s="36"/>
      <c r="C40" s="36"/>
      <c r="D40" s="37"/>
    </row>
    <row r="41" customFormat="false" ht="16.5" hidden="false" customHeight="false" outlineLevel="0" collapsed="false">
      <c r="A41" s="38"/>
      <c r="B41" s="39"/>
      <c r="C41" s="39"/>
      <c r="D41" s="40"/>
    </row>
    <row r="42" customFormat="false" ht="16.5" hidden="false" customHeight="false" outlineLevel="0" collapsed="false">
      <c r="A42" s="35"/>
      <c r="B42" s="36"/>
      <c r="C42" s="36"/>
      <c r="D42" s="37"/>
    </row>
    <row r="43" customFormat="false" ht="16.5" hidden="false" customHeight="false" outlineLevel="0" collapsed="false">
      <c r="A43" s="38"/>
      <c r="B43" s="39"/>
      <c r="C43" s="39"/>
      <c r="D43" s="40"/>
    </row>
    <row r="44" customFormat="false" ht="16.5" hidden="false" customHeight="false" outlineLevel="0" collapsed="false">
      <c r="A44" s="35"/>
      <c r="B44" s="36"/>
      <c r="C44" s="36"/>
      <c r="D44" s="37"/>
    </row>
    <row r="45" customFormat="false" ht="16.5" hidden="false" customHeight="false" outlineLevel="0" collapsed="false">
      <c r="A45" s="38"/>
      <c r="B45" s="39"/>
      <c r="C45" s="39"/>
      <c r="D45" s="40"/>
    </row>
    <row r="46" customFormat="false" ht="16.5" hidden="false" customHeight="false" outlineLevel="0" collapsed="false">
      <c r="A46" s="35"/>
      <c r="B46" s="36"/>
      <c r="C46" s="36"/>
      <c r="D46" s="37"/>
    </row>
    <row r="47" customFormat="false" ht="16.5" hidden="false" customHeight="false" outlineLevel="0" collapsed="false">
      <c r="A47" s="38"/>
      <c r="B47" s="39"/>
      <c r="C47" s="39"/>
      <c r="D47" s="40"/>
    </row>
    <row r="48" customFormat="false" ht="16.5" hidden="false" customHeight="false" outlineLevel="0" collapsed="false">
      <c r="A48" s="35"/>
      <c r="B48" s="36"/>
      <c r="C48" s="36"/>
      <c r="D48" s="37"/>
    </row>
    <row r="49" customFormat="false" ht="16.5" hidden="false" customHeight="false" outlineLevel="0" collapsed="false">
      <c r="A49" s="38"/>
      <c r="B49" s="39"/>
      <c r="C49" s="39"/>
      <c r="D49" s="40"/>
    </row>
    <row r="50" customFormat="false" ht="16.5" hidden="false" customHeight="false" outlineLevel="0" collapsed="false">
      <c r="A50" s="35"/>
      <c r="B50" s="36"/>
      <c r="C50" s="36"/>
      <c r="D50" s="37"/>
    </row>
    <row r="51" customFormat="false" ht="16.5" hidden="false" customHeight="false" outlineLevel="0" collapsed="false">
      <c r="A51" s="38"/>
      <c r="B51" s="39"/>
      <c r="C51" s="39"/>
      <c r="D51" s="40"/>
    </row>
    <row r="52" customFormat="false" ht="16.5" hidden="false" customHeight="false" outlineLevel="0" collapsed="false">
      <c r="A52" s="35"/>
      <c r="B52" s="36"/>
      <c r="C52" s="36"/>
      <c r="D52" s="37"/>
    </row>
    <row r="53" customFormat="false" ht="16.5" hidden="false" customHeight="false" outlineLevel="0" collapsed="false">
      <c r="A53" s="38"/>
      <c r="B53" s="39"/>
      <c r="C53" s="39"/>
      <c r="D53" s="40"/>
    </row>
    <row r="54" customFormat="false" ht="16.5" hidden="false" customHeight="false" outlineLevel="0" collapsed="false">
      <c r="A54" s="35"/>
      <c r="B54" s="36"/>
      <c r="C54" s="36"/>
      <c r="D54" s="37"/>
    </row>
    <row r="55" customFormat="false" ht="16.5" hidden="false" customHeight="false" outlineLevel="0" collapsed="false">
      <c r="A55" s="38"/>
      <c r="B55" s="39"/>
      <c r="C55" s="39"/>
      <c r="D55" s="40"/>
    </row>
    <row r="56" customFormat="false" ht="16.5" hidden="false" customHeight="false" outlineLevel="0" collapsed="false">
      <c r="A56" s="35"/>
      <c r="B56" s="36"/>
      <c r="C56" s="36"/>
      <c r="D56" s="37"/>
    </row>
    <row r="57" customFormat="false" ht="16.5" hidden="false" customHeight="false" outlineLevel="0" collapsed="false">
      <c r="A57" s="38"/>
      <c r="B57" s="39"/>
      <c r="C57" s="39"/>
      <c r="D57" s="40"/>
    </row>
    <row r="58" customFormat="false" ht="16.5" hidden="false" customHeight="false" outlineLevel="0" collapsed="false">
      <c r="A58" s="35"/>
      <c r="B58" s="36"/>
      <c r="C58" s="36"/>
      <c r="D58" s="37"/>
    </row>
    <row r="59" customFormat="false" ht="16.5" hidden="false" customHeight="false" outlineLevel="0" collapsed="false">
      <c r="A59" s="38"/>
      <c r="B59" s="39"/>
      <c r="C59" s="39"/>
      <c r="D59" s="40"/>
    </row>
    <row r="60" customFormat="false" ht="16.5" hidden="false" customHeight="false" outlineLevel="0" collapsed="false">
      <c r="A60" s="35"/>
      <c r="B60" s="36"/>
      <c r="C60" s="36"/>
      <c r="D60" s="37"/>
    </row>
    <row r="61" customFormat="false" ht="16.5" hidden="false" customHeight="false" outlineLevel="0" collapsed="false">
      <c r="A61" s="38"/>
      <c r="B61" s="39"/>
      <c r="C61" s="39"/>
      <c r="D61" s="40"/>
    </row>
    <row r="62" customFormat="false" ht="16.5" hidden="false" customHeight="false" outlineLevel="0" collapsed="false">
      <c r="A62" s="35"/>
      <c r="B62" s="36"/>
      <c r="C62" s="36"/>
      <c r="D62" s="37"/>
    </row>
    <row r="63" customFormat="false" ht="16.5" hidden="false" customHeight="false" outlineLevel="0" collapsed="false">
      <c r="A63" s="38"/>
      <c r="B63" s="39"/>
      <c r="C63" s="39"/>
      <c r="D63" s="40"/>
    </row>
    <row r="64" customFormat="false" ht="16.5" hidden="false" customHeight="false" outlineLevel="0" collapsed="false">
      <c r="A64" s="35"/>
      <c r="B64" s="36"/>
      <c r="C64" s="36"/>
      <c r="D64" s="37"/>
    </row>
    <row r="65" customFormat="false" ht="16.5" hidden="false" customHeight="false" outlineLevel="0" collapsed="false">
      <c r="A65" s="38"/>
      <c r="B65" s="39"/>
      <c r="C65" s="39"/>
      <c r="D65" s="40"/>
    </row>
    <row r="66" customFormat="false" ht="16.5" hidden="false" customHeight="false" outlineLevel="0" collapsed="false">
      <c r="A66" s="35"/>
      <c r="B66" s="36"/>
      <c r="C66" s="36"/>
      <c r="D66" s="37"/>
    </row>
    <row r="67" customFormat="false" ht="16.5" hidden="false" customHeight="false" outlineLevel="0" collapsed="false">
      <c r="A67" s="38"/>
      <c r="B67" s="39"/>
      <c r="C67" s="39"/>
      <c r="D67" s="40"/>
    </row>
    <row r="68" customFormat="false" ht="16.5" hidden="false" customHeight="false" outlineLevel="0" collapsed="false">
      <c r="A68" s="35"/>
      <c r="B68" s="36"/>
      <c r="C68" s="36"/>
      <c r="D68" s="37"/>
    </row>
    <row r="69" customFormat="false" ht="16.5" hidden="false" customHeight="false" outlineLevel="0" collapsed="false">
      <c r="A69" s="38"/>
      <c r="B69" s="39"/>
      <c r="C69" s="39"/>
      <c r="D69" s="40"/>
    </row>
    <row r="70" customFormat="false" ht="16.5" hidden="false" customHeight="false" outlineLevel="0" collapsed="false">
      <c r="A70" s="35"/>
      <c r="B70" s="36"/>
      <c r="C70" s="36"/>
      <c r="D70" s="37"/>
    </row>
    <row r="71" customFormat="false" ht="16.5" hidden="false" customHeight="false" outlineLevel="0" collapsed="false">
      <c r="A71" s="38"/>
      <c r="B71" s="39"/>
      <c r="C71" s="39"/>
      <c r="D71" s="40"/>
    </row>
    <row r="72" customFormat="false" ht="16.5" hidden="false" customHeight="false" outlineLevel="0" collapsed="false">
      <c r="A72" s="35"/>
      <c r="B72" s="36"/>
      <c r="C72" s="36"/>
      <c r="D72" s="37"/>
    </row>
    <row r="73" customFormat="false" ht="16.5" hidden="false" customHeight="false" outlineLevel="0" collapsed="false">
      <c r="A73" s="38"/>
      <c r="B73" s="39"/>
      <c r="C73" s="39"/>
      <c r="D73" s="40"/>
    </row>
    <row r="74" customFormat="false" ht="16.5" hidden="false" customHeight="false" outlineLevel="0" collapsed="false">
      <c r="A74" s="35"/>
      <c r="B74" s="36"/>
      <c r="C74" s="36"/>
      <c r="D74" s="37"/>
    </row>
    <row r="75" customFormat="false" ht="16.5" hidden="false" customHeight="false" outlineLevel="0" collapsed="false">
      <c r="A75" s="38"/>
      <c r="B75" s="39"/>
      <c r="C75" s="39"/>
      <c r="D75" s="40"/>
    </row>
    <row r="76" customFormat="false" ht="16.5" hidden="false" customHeight="false" outlineLevel="0" collapsed="false">
      <c r="A76" s="35"/>
      <c r="B76" s="36"/>
      <c r="C76" s="36"/>
      <c r="D76" s="37"/>
    </row>
    <row r="77" customFormat="false" ht="16.5" hidden="false" customHeight="false" outlineLevel="0" collapsed="false">
      <c r="A77" s="38"/>
      <c r="B77" s="39"/>
      <c r="C77" s="39"/>
      <c r="D77" s="40"/>
    </row>
    <row r="78" customFormat="false" ht="16.5" hidden="false" customHeight="false" outlineLevel="0" collapsed="false">
      <c r="A78" s="35"/>
      <c r="B78" s="36"/>
      <c r="C78" s="36"/>
      <c r="D78" s="37"/>
    </row>
    <row r="79" customFormat="false" ht="16.5" hidden="false" customHeight="false" outlineLevel="0" collapsed="false">
      <c r="A79" s="38"/>
      <c r="B79" s="39"/>
      <c r="C79" s="39"/>
      <c r="D79" s="40"/>
    </row>
    <row r="80" customFormat="false" ht="16.5" hidden="false" customHeight="false" outlineLevel="0" collapsed="false">
      <c r="A80" s="35"/>
      <c r="B80" s="36"/>
      <c r="C80" s="36"/>
      <c r="D80" s="37"/>
    </row>
    <row r="81" customFormat="false" ht="16.5" hidden="false" customHeight="false" outlineLevel="0" collapsed="false">
      <c r="A81" s="38"/>
      <c r="B81" s="39"/>
      <c r="C81" s="39"/>
      <c r="D81" s="40"/>
    </row>
    <row r="82" customFormat="false" ht="16.5" hidden="false" customHeight="false" outlineLevel="0" collapsed="false">
      <c r="A82" s="35"/>
      <c r="B82" s="36"/>
      <c r="C82" s="36"/>
      <c r="D82" s="37"/>
    </row>
    <row r="83" customFormat="false" ht="16.5" hidden="false" customHeight="false" outlineLevel="0" collapsed="false">
      <c r="A83" s="38"/>
      <c r="B83" s="39"/>
      <c r="C83" s="39"/>
      <c r="D83" s="40"/>
    </row>
    <row r="84" customFormat="false" ht="16.5" hidden="false" customHeight="false" outlineLevel="0" collapsed="false">
      <c r="A84" s="35"/>
      <c r="B84" s="36"/>
      <c r="C84" s="36"/>
      <c r="D84" s="37"/>
    </row>
    <row r="85" customFormat="false" ht="16.5" hidden="false" customHeight="false" outlineLevel="0" collapsed="false">
      <c r="A85" s="38"/>
      <c r="B85" s="39"/>
      <c r="C85" s="39"/>
      <c r="D85" s="40"/>
    </row>
    <row r="86" customFormat="false" ht="16.5" hidden="false" customHeight="false" outlineLevel="0" collapsed="false">
      <c r="A86" s="35"/>
      <c r="B86" s="36"/>
      <c r="C86" s="36"/>
      <c r="D86" s="37"/>
    </row>
    <row r="87" customFormat="false" ht="16.5" hidden="false" customHeight="false" outlineLevel="0" collapsed="false">
      <c r="A87" s="38"/>
      <c r="B87" s="39"/>
      <c r="C87" s="39"/>
      <c r="D87" s="40"/>
    </row>
    <row r="88" customFormat="false" ht="16.5" hidden="false" customHeight="false" outlineLevel="0" collapsed="false">
      <c r="A88" s="35"/>
      <c r="B88" s="36"/>
      <c r="C88" s="36"/>
      <c r="D88" s="37"/>
    </row>
    <row r="89" customFormat="false" ht="16.5" hidden="false" customHeight="false" outlineLevel="0" collapsed="false">
      <c r="A89" s="38"/>
      <c r="B89" s="39"/>
      <c r="C89" s="39"/>
      <c r="D89" s="40"/>
    </row>
    <row r="90" customFormat="false" ht="16.5" hidden="false" customHeight="false" outlineLevel="0" collapsed="false">
      <c r="A90" s="35"/>
      <c r="B90" s="36"/>
      <c r="C90" s="36"/>
      <c r="D90" s="37"/>
    </row>
    <row r="91" customFormat="false" ht="16.5" hidden="false" customHeight="false" outlineLevel="0" collapsed="false">
      <c r="A91" s="38"/>
      <c r="B91" s="39"/>
      <c r="C91" s="39"/>
      <c r="D91" s="40"/>
    </row>
    <row r="92" customFormat="false" ht="16.5" hidden="false" customHeight="false" outlineLevel="0" collapsed="false">
      <c r="A92" s="35"/>
      <c r="B92" s="36"/>
      <c r="C92" s="36"/>
      <c r="D92" s="37"/>
    </row>
    <row r="93" customFormat="false" ht="16.5" hidden="false" customHeight="false" outlineLevel="0" collapsed="false">
      <c r="A93" s="38"/>
      <c r="B93" s="39"/>
      <c r="C93" s="39"/>
      <c r="D93" s="40"/>
    </row>
    <row r="94" customFormat="false" ht="16.5" hidden="false" customHeight="false" outlineLevel="0" collapsed="false">
      <c r="A94" s="35"/>
      <c r="B94" s="36"/>
      <c r="C94" s="36"/>
      <c r="D94" s="37"/>
    </row>
    <row r="95" customFormat="false" ht="16.5" hidden="false" customHeight="false" outlineLevel="0" collapsed="false">
      <c r="A95" s="38"/>
      <c r="B95" s="39"/>
      <c r="C95" s="39"/>
      <c r="D95" s="40"/>
    </row>
    <row r="96" customFormat="false" ht="16.5" hidden="false" customHeight="false" outlineLevel="0" collapsed="false">
      <c r="A96" s="35"/>
      <c r="B96" s="36"/>
      <c r="C96" s="36"/>
      <c r="D96" s="37"/>
    </row>
    <row r="97" customFormat="false" ht="16.5" hidden="false" customHeight="false" outlineLevel="0" collapsed="false">
      <c r="A97" s="38"/>
      <c r="B97" s="39"/>
      <c r="C97" s="39"/>
      <c r="D97" s="40"/>
    </row>
    <row r="98" customFormat="false" ht="16.5" hidden="false" customHeight="false" outlineLevel="0" collapsed="false">
      <c r="A98" s="35"/>
      <c r="B98" s="36"/>
      <c r="C98" s="36"/>
      <c r="D98" s="37"/>
    </row>
    <row r="99" customFormat="false" ht="16.5" hidden="false" customHeight="false" outlineLevel="0" collapsed="false">
      <c r="A99" s="38"/>
      <c r="B99" s="39"/>
      <c r="C99" s="39"/>
      <c r="D99" s="40"/>
    </row>
    <row r="100" customFormat="false" ht="16.5" hidden="false" customHeight="false" outlineLevel="0" collapsed="false">
      <c r="A100" s="35"/>
      <c r="B100" s="36"/>
      <c r="C100" s="36"/>
      <c r="D100" s="37"/>
    </row>
    <row r="101" customFormat="false" ht="16.5" hidden="false" customHeight="false" outlineLevel="0" collapsed="false">
      <c r="A101" s="38"/>
      <c r="B101" s="39"/>
      <c r="C101" s="39"/>
      <c r="D101" s="40"/>
    </row>
    <row r="102" customFormat="false" ht="16.5" hidden="false" customHeight="false" outlineLevel="0" collapsed="false">
      <c r="A102" s="35"/>
      <c r="B102" s="36"/>
      <c r="C102" s="36"/>
      <c r="D102" s="37"/>
    </row>
    <row r="103" customFormat="false" ht="16.5" hidden="false" customHeight="false" outlineLevel="0" collapsed="false">
      <c r="A103" s="38"/>
      <c r="B103" s="39"/>
      <c r="C103" s="39"/>
      <c r="D103" s="40"/>
    </row>
    <row r="104" customFormat="false" ht="16.5" hidden="false" customHeight="false" outlineLevel="0" collapsed="false">
      <c r="A104" s="35"/>
      <c r="B104" s="36"/>
      <c r="C104" s="36"/>
      <c r="D104" s="37"/>
    </row>
    <row r="105" customFormat="false" ht="16.5" hidden="false" customHeight="false" outlineLevel="0" collapsed="false">
      <c r="A105" s="38"/>
      <c r="B105" s="39"/>
      <c r="C105" s="39"/>
      <c r="D105" s="40"/>
    </row>
    <row r="106" customFormat="false" ht="16.5" hidden="false" customHeight="false" outlineLevel="0" collapsed="false">
      <c r="A106" s="35"/>
      <c r="B106" s="36"/>
      <c r="C106" s="36"/>
      <c r="D106" s="37"/>
    </row>
    <row r="107" customFormat="false" ht="16.5" hidden="false" customHeight="false" outlineLevel="0" collapsed="false">
      <c r="A107" s="38"/>
      <c r="B107" s="39"/>
      <c r="C107" s="39"/>
      <c r="D107" s="40"/>
    </row>
    <row r="108" customFormat="false" ht="16.5" hidden="false" customHeight="false" outlineLevel="0" collapsed="false">
      <c r="A108" s="35"/>
      <c r="B108" s="36"/>
      <c r="C108" s="36"/>
      <c r="D108" s="37"/>
    </row>
    <row r="109" customFormat="false" ht="16.5" hidden="false" customHeight="false" outlineLevel="0" collapsed="false">
      <c r="A109" s="38"/>
      <c r="B109" s="39"/>
      <c r="C109" s="39"/>
      <c r="D109" s="40"/>
    </row>
    <row r="110" customFormat="false" ht="16.5" hidden="false" customHeight="false" outlineLevel="0" collapsed="false">
      <c r="A110" s="35"/>
      <c r="B110" s="36"/>
      <c r="C110" s="36"/>
      <c r="D110" s="37"/>
    </row>
    <row r="111" customFormat="false" ht="16.5" hidden="false" customHeight="false" outlineLevel="0" collapsed="false">
      <c r="A111" s="38"/>
      <c r="B111" s="39"/>
      <c r="C111" s="39"/>
      <c r="D111" s="40"/>
    </row>
    <row r="112" customFormat="false" ht="16.5" hidden="false" customHeight="false" outlineLevel="0" collapsed="false">
      <c r="A112" s="35"/>
      <c r="B112" s="36"/>
      <c r="C112" s="36"/>
      <c r="D112" s="37"/>
    </row>
    <row r="113" customFormat="false" ht="16.5" hidden="false" customHeight="false" outlineLevel="0" collapsed="false">
      <c r="A113" s="38"/>
      <c r="B113" s="39"/>
      <c r="C113" s="39"/>
      <c r="D113" s="40"/>
    </row>
    <row r="114" customFormat="false" ht="16.5" hidden="false" customHeight="false" outlineLevel="0" collapsed="false">
      <c r="A114" s="35"/>
      <c r="B114" s="36"/>
      <c r="C114" s="36"/>
      <c r="D114" s="37"/>
    </row>
    <row r="115" customFormat="false" ht="16.5" hidden="false" customHeight="false" outlineLevel="0" collapsed="false">
      <c r="A115" s="38"/>
      <c r="B115" s="39"/>
      <c r="C115" s="39"/>
      <c r="D115" s="40"/>
    </row>
    <row r="116" customFormat="false" ht="16.5" hidden="false" customHeight="false" outlineLevel="0" collapsed="false">
      <c r="A116" s="35"/>
      <c r="B116" s="36"/>
      <c r="C116" s="36"/>
      <c r="D116" s="37"/>
    </row>
    <row r="117" customFormat="false" ht="16.5" hidden="false" customHeight="false" outlineLevel="0" collapsed="false">
      <c r="A117" s="38"/>
      <c r="B117" s="39"/>
      <c r="C117" s="39"/>
      <c r="D117" s="40"/>
    </row>
    <row r="118" customFormat="false" ht="16.5" hidden="false" customHeight="false" outlineLevel="0" collapsed="false">
      <c r="A118" s="35"/>
      <c r="B118" s="36"/>
      <c r="C118" s="36"/>
      <c r="D118" s="37"/>
    </row>
    <row r="119" customFormat="false" ht="16.5" hidden="false" customHeight="false" outlineLevel="0" collapsed="false">
      <c r="A119" s="38"/>
      <c r="B119" s="39"/>
      <c r="C119" s="39"/>
      <c r="D119" s="40"/>
    </row>
    <row r="120" customFormat="false" ht="16.5" hidden="false" customHeight="false" outlineLevel="0" collapsed="false">
      <c r="A120" s="35"/>
      <c r="B120" s="36"/>
      <c r="C120" s="36"/>
      <c r="D120" s="37"/>
    </row>
    <row r="121" customFormat="false" ht="16.5" hidden="false" customHeight="false" outlineLevel="0" collapsed="false">
      <c r="A121" s="38"/>
      <c r="B121" s="39"/>
      <c r="C121" s="39"/>
      <c r="D121" s="40"/>
    </row>
    <row r="122" customFormat="false" ht="16.5" hidden="false" customHeight="false" outlineLevel="0" collapsed="false">
      <c r="A122" s="35"/>
      <c r="B122" s="36"/>
      <c r="C122" s="36"/>
      <c r="D122" s="37"/>
    </row>
    <row r="123" customFormat="false" ht="16.5" hidden="false" customHeight="false" outlineLevel="0" collapsed="false">
      <c r="A123" s="38"/>
      <c r="B123" s="39"/>
      <c r="C123" s="39"/>
      <c r="D123" s="40"/>
    </row>
    <row r="124" customFormat="false" ht="16.5" hidden="false" customHeight="false" outlineLevel="0" collapsed="false">
      <c r="A124" s="35"/>
      <c r="B124" s="36"/>
      <c r="C124" s="36"/>
      <c r="D124" s="37"/>
    </row>
    <row r="125" customFormat="false" ht="16.5" hidden="false" customHeight="false" outlineLevel="0" collapsed="false">
      <c r="A125" s="38"/>
      <c r="B125" s="39"/>
      <c r="C125" s="39"/>
      <c r="D125" s="40"/>
    </row>
    <row r="126" customFormat="false" ht="16.5" hidden="false" customHeight="false" outlineLevel="0" collapsed="false">
      <c r="A126" s="35"/>
      <c r="B126" s="36"/>
      <c r="C126" s="36"/>
      <c r="D126" s="37"/>
    </row>
    <row r="127" customFormat="false" ht="16.5" hidden="false" customHeight="false" outlineLevel="0" collapsed="false">
      <c r="A127" s="38"/>
      <c r="B127" s="39"/>
      <c r="C127" s="39"/>
      <c r="D127" s="40"/>
    </row>
    <row r="128" customFormat="false" ht="16.5" hidden="false" customHeight="false" outlineLevel="0" collapsed="false">
      <c r="A128" s="35"/>
      <c r="B128" s="36"/>
      <c r="C128" s="36"/>
      <c r="D128" s="37"/>
    </row>
    <row r="129" customFormat="false" ht="16.5" hidden="false" customHeight="false" outlineLevel="0" collapsed="false">
      <c r="A129" s="38"/>
      <c r="B129" s="39"/>
      <c r="C129" s="39"/>
      <c r="D129" s="40"/>
    </row>
    <row r="130" customFormat="false" ht="16.5" hidden="false" customHeight="false" outlineLevel="0" collapsed="false">
      <c r="A130" s="35"/>
      <c r="B130" s="36"/>
      <c r="C130" s="36"/>
      <c r="D130" s="37"/>
    </row>
    <row r="131" customFormat="false" ht="16.5" hidden="false" customHeight="false" outlineLevel="0" collapsed="false">
      <c r="A131" s="38"/>
      <c r="B131" s="39"/>
      <c r="C131" s="39"/>
      <c r="D131" s="40"/>
    </row>
    <row r="132" customFormat="false" ht="16.5" hidden="false" customHeight="false" outlineLevel="0" collapsed="false">
      <c r="A132" s="35"/>
      <c r="B132" s="36"/>
      <c r="C132" s="36"/>
      <c r="D132" s="37"/>
    </row>
    <row r="133" customFormat="false" ht="16.5" hidden="false" customHeight="false" outlineLevel="0" collapsed="false">
      <c r="A133" s="38"/>
      <c r="B133" s="39"/>
      <c r="C133" s="39"/>
      <c r="D133" s="40"/>
    </row>
    <row r="134" customFormat="false" ht="16.5" hidden="false" customHeight="false" outlineLevel="0" collapsed="false">
      <c r="A134" s="35"/>
      <c r="B134" s="36"/>
      <c r="C134" s="36"/>
      <c r="D134" s="37"/>
    </row>
    <row r="135" customFormat="false" ht="16.5" hidden="false" customHeight="false" outlineLevel="0" collapsed="false">
      <c r="A135" s="38"/>
      <c r="B135" s="39"/>
      <c r="C135" s="39"/>
      <c r="D135" s="40"/>
    </row>
    <row r="136" customFormat="false" ht="16.5" hidden="false" customHeight="false" outlineLevel="0" collapsed="false">
      <c r="A136" s="35"/>
      <c r="B136" s="36"/>
      <c r="C136" s="36"/>
      <c r="D136" s="37"/>
    </row>
    <row r="137" customFormat="false" ht="16.5" hidden="false" customHeight="false" outlineLevel="0" collapsed="false">
      <c r="A137" s="38"/>
      <c r="B137" s="39"/>
      <c r="C137" s="39"/>
      <c r="D137" s="40"/>
    </row>
    <row r="138" customFormat="false" ht="16.5" hidden="false" customHeight="false" outlineLevel="0" collapsed="false">
      <c r="A138" s="35"/>
      <c r="B138" s="36"/>
      <c r="C138" s="36"/>
      <c r="D138" s="37"/>
    </row>
    <row r="139" customFormat="false" ht="16.5" hidden="false" customHeight="false" outlineLevel="0" collapsed="false">
      <c r="A139" s="38"/>
      <c r="B139" s="39"/>
      <c r="C139" s="39"/>
      <c r="D139" s="40"/>
    </row>
    <row r="140" customFormat="false" ht="16.5" hidden="false" customHeight="false" outlineLevel="0" collapsed="false">
      <c r="A140" s="35"/>
      <c r="B140" s="36"/>
      <c r="C140" s="36"/>
      <c r="D140" s="37"/>
    </row>
    <row r="141" customFormat="false" ht="16.5" hidden="false" customHeight="false" outlineLevel="0" collapsed="false">
      <c r="A141" s="38"/>
      <c r="B141" s="39"/>
      <c r="C141" s="39"/>
      <c r="D141" s="40"/>
    </row>
    <row r="142" customFormat="false" ht="16.5" hidden="false" customHeight="false" outlineLevel="0" collapsed="false">
      <c r="A142" s="35"/>
      <c r="B142" s="36"/>
      <c r="C142" s="36"/>
      <c r="D142" s="37"/>
    </row>
    <row r="143" customFormat="false" ht="16.5" hidden="false" customHeight="false" outlineLevel="0" collapsed="false">
      <c r="A143" s="38"/>
      <c r="B143" s="39"/>
      <c r="C143" s="39"/>
      <c r="D143" s="40"/>
    </row>
    <row r="144" customFormat="false" ht="16.5" hidden="false" customHeight="false" outlineLevel="0" collapsed="false">
      <c r="A144" s="35"/>
      <c r="B144" s="36"/>
      <c r="C144" s="36"/>
      <c r="D144" s="37"/>
    </row>
    <row r="145" customFormat="false" ht="16.5" hidden="false" customHeight="false" outlineLevel="0" collapsed="false">
      <c r="A145" s="38"/>
      <c r="B145" s="39"/>
      <c r="C145" s="39"/>
      <c r="D145" s="40"/>
    </row>
    <row r="146" customFormat="false" ht="16.5" hidden="false" customHeight="false" outlineLevel="0" collapsed="false">
      <c r="A146" s="35"/>
      <c r="B146" s="36"/>
      <c r="C146" s="36"/>
      <c r="D146" s="37"/>
    </row>
    <row r="147" customFormat="false" ht="16.5" hidden="false" customHeight="false" outlineLevel="0" collapsed="false">
      <c r="A147" s="38"/>
      <c r="B147" s="39"/>
      <c r="C147" s="39"/>
      <c r="D147" s="40"/>
    </row>
    <row r="148" customFormat="false" ht="16.5" hidden="false" customHeight="false" outlineLevel="0" collapsed="false">
      <c r="A148" s="35"/>
      <c r="B148" s="36"/>
      <c r="C148" s="36"/>
      <c r="D148" s="37"/>
    </row>
    <row r="149" customFormat="false" ht="16.5" hidden="false" customHeight="false" outlineLevel="0" collapsed="false">
      <c r="A149" s="38"/>
      <c r="B149" s="39"/>
      <c r="C149" s="39"/>
      <c r="D149" s="40"/>
    </row>
    <row r="150" customFormat="false" ht="16.5" hidden="false" customHeight="false" outlineLevel="0" collapsed="false">
      <c r="A150" s="35"/>
      <c r="B150" s="36"/>
      <c r="C150" s="36"/>
      <c r="D150" s="37"/>
    </row>
    <row r="151" customFormat="false" ht="16.5" hidden="false" customHeight="false" outlineLevel="0" collapsed="false">
      <c r="A151" s="38"/>
      <c r="B151" s="39"/>
      <c r="C151" s="39"/>
      <c r="D151" s="40"/>
    </row>
    <row r="152" customFormat="false" ht="16.5" hidden="false" customHeight="false" outlineLevel="0" collapsed="false">
      <c r="A152" s="35"/>
      <c r="B152" s="36"/>
      <c r="C152" s="36"/>
      <c r="D152" s="37"/>
    </row>
    <row r="153" customFormat="false" ht="16.5" hidden="false" customHeight="false" outlineLevel="0" collapsed="false">
      <c r="A153" s="38"/>
      <c r="B153" s="39"/>
      <c r="C153" s="39"/>
      <c r="D153" s="40"/>
    </row>
    <row r="154" customFormat="false" ht="16.5" hidden="false" customHeight="false" outlineLevel="0" collapsed="false">
      <c r="A154" s="35"/>
      <c r="B154" s="36"/>
      <c r="C154" s="36"/>
      <c r="D154" s="37"/>
    </row>
    <row r="155" customFormat="false" ht="16.5" hidden="false" customHeight="false" outlineLevel="0" collapsed="false">
      <c r="A155" s="38"/>
      <c r="B155" s="39"/>
      <c r="C155" s="39"/>
      <c r="D155" s="40"/>
    </row>
    <row r="156" customFormat="false" ht="16.5" hidden="false" customHeight="false" outlineLevel="0" collapsed="false">
      <c r="A156" s="35"/>
      <c r="B156" s="36"/>
      <c r="C156" s="36"/>
      <c r="D156" s="37"/>
    </row>
    <row r="157" customFormat="false" ht="16.5" hidden="false" customHeight="false" outlineLevel="0" collapsed="false">
      <c r="A157" s="38"/>
      <c r="B157" s="39"/>
      <c r="C157" s="39"/>
      <c r="D157" s="40"/>
    </row>
    <row r="158" customFormat="false" ht="16.5" hidden="false" customHeight="false" outlineLevel="0" collapsed="false">
      <c r="A158" s="35"/>
      <c r="B158" s="36"/>
      <c r="C158" s="36"/>
      <c r="D158" s="37"/>
    </row>
    <row r="159" customFormat="false" ht="16.5" hidden="false" customHeight="false" outlineLevel="0" collapsed="false">
      <c r="A159" s="38"/>
      <c r="B159" s="39"/>
      <c r="C159" s="39"/>
      <c r="D159" s="40"/>
    </row>
    <row r="160" customFormat="false" ht="16.5" hidden="false" customHeight="false" outlineLevel="0" collapsed="false">
      <c r="A160" s="35"/>
      <c r="B160" s="36"/>
      <c r="C160" s="36"/>
      <c r="D160" s="37"/>
    </row>
    <row r="161" customFormat="false" ht="16.5" hidden="false" customHeight="false" outlineLevel="0" collapsed="false">
      <c r="A161" s="38"/>
      <c r="B161" s="39"/>
      <c r="C161" s="39"/>
      <c r="D161" s="40"/>
    </row>
    <row r="162" customFormat="false" ht="16.5" hidden="false" customHeight="false" outlineLevel="0" collapsed="false">
      <c r="A162" s="35"/>
      <c r="B162" s="36"/>
      <c r="C162" s="36"/>
      <c r="D162" s="37"/>
    </row>
    <row r="163" customFormat="false" ht="16.5" hidden="false" customHeight="false" outlineLevel="0" collapsed="false">
      <c r="A163" s="38"/>
      <c r="B163" s="39"/>
      <c r="C163" s="39"/>
      <c r="D163" s="40"/>
    </row>
    <row r="164" customFormat="false" ht="16.5" hidden="false" customHeight="false" outlineLevel="0" collapsed="false">
      <c r="A164" s="35"/>
      <c r="B164" s="36"/>
      <c r="C164" s="36"/>
      <c r="D164" s="37"/>
    </row>
    <row r="165" customFormat="false" ht="16.5" hidden="false" customHeight="false" outlineLevel="0" collapsed="false">
      <c r="A165" s="38"/>
      <c r="B165" s="39"/>
      <c r="C165" s="39"/>
      <c r="D165" s="40"/>
    </row>
    <row r="166" customFormat="false" ht="16.5" hidden="false" customHeight="false" outlineLevel="0" collapsed="false">
      <c r="A166" s="35"/>
      <c r="B166" s="36"/>
      <c r="C166" s="36"/>
      <c r="D166" s="37"/>
    </row>
    <row r="167" customFormat="false" ht="16.5" hidden="false" customHeight="false" outlineLevel="0" collapsed="false">
      <c r="A167" s="38"/>
      <c r="B167" s="39"/>
      <c r="C167" s="39"/>
      <c r="D167" s="40"/>
    </row>
    <row r="168" customFormat="false" ht="16.5" hidden="false" customHeight="false" outlineLevel="0" collapsed="false">
      <c r="A168" s="35"/>
      <c r="B168" s="36"/>
      <c r="C168" s="36"/>
      <c r="D168" s="37"/>
    </row>
    <row r="169" customFormat="false" ht="16.5" hidden="false" customHeight="false" outlineLevel="0" collapsed="false">
      <c r="A169" s="38"/>
      <c r="B169" s="39"/>
      <c r="C169" s="39"/>
      <c r="D169" s="40"/>
    </row>
    <row r="170" customFormat="false" ht="16.5" hidden="false" customHeight="false" outlineLevel="0" collapsed="false">
      <c r="A170" s="35"/>
      <c r="B170" s="36"/>
      <c r="C170" s="36"/>
      <c r="D170" s="37"/>
    </row>
    <row r="171" customFormat="false" ht="16.5" hidden="false" customHeight="false" outlineLevel="0" collapsed="false">
      <c r="A171" s="38"/>
      <c r="B171" s="39"/>
      <c r="C171" s="39"/>
      <c r="D171" s="40"/>
    </row>
    <row r="172" customFormat="false" ht="16.5" hidden="false" customHeight="false" outlineLevel="0" collapsed="false">
      <c r="A172" s="35"/>
      <c r="B172" s="36"/>
      <c r="C172" s="36"/>
      <c r="D172" s="37"/>
    </row>
    <row r="173" customFormat="false" ht="16.5" hidden="false" customHeight="false" outlineLevel="0" collapsed="false">
      <c r="A173" s="38"/>
      <c r="B173" s="39"/>
      <c r="C173" s="39"/>
      <c r="D173" s="40"/>
    </row>
    <row r="174" customFormat="false" ht="16.5" hidden="false" customHeight="false" outlineLevel="0" collapsed="false">
      <c r="A174" s="35"/>
      <c r="B174" s="36"/>
      <c r="C174" s="36"/>
      <c r="D174" s="37"/>
    </row>
    <row r="175" customFormat="false" ht="16.5" hidden="false" customHeight="false" outlineLevel="0" collapsed="false">
      <c r="A175" s="38"/>
      <c r="B175" s="39"/>
      <c r="C175" s="39"/>
      <c r="D175" s="40"/>
    </row>
    <row r="176" customFormat="false" ht="16.5" hidden="false" customHeight="false" outlineLevel="0" collapsed="false">
      <c r="A176" s="35"/>
      <c r="B176" s="36"/>
      <c r="C176" s="36"/>
      <c r="D176" s="37"/>
    </row>
    <row r="177" customFormat="false" ht="16.5" hidden="false" customHeight="false" outlineLevel="0" collapsed="false">
      <c r="A177" s="38"/>
      <c r="B177" s="39"/>
      <c r="C177" s="39"/>
      <c r="D177" s="40"/>
    </row>
    <row r="178" customFormat="false" ht="16.5" hidden="false" customHeight="false" outlineLevel="0" collapsed="false">
      <c r="A178" s="35"/>
      <c r="B178" s="36"/>
      <c r="C178" s="36"/>
      <c r="D178" s="37"/>
    </row>
    <row r="179" customFormat="false" ht="16.5" hidden="false" customHeight="false" outlineLevel="0" collapsed="false">
      <c r="A179" s="38"/>
      <c r="B179" s="39"/>
      <c r="C179" s="39"/>
      <c r="D179" s="40"/>
    </row>
    <row r="180" customFormat="false" ht="16.5" hidden="false" customHeight="false" outlineLevel="0" collapsed="false">
      <c r="A180" s="35"/>
      <c r="B180" s="36"/>
      <c r="C180" s="36"/>
      <c r="D180" s="37"/>
    </row>
    <row r="181" customFormat="false" ht="16.5" hidden="false" customHeight="false" outlineLevel="0" collapsed="false">
      <c r="A181" s="38"/>
      <c r="B181" s="39"/>
      <c r="C181" s="39"/>
      <c r="D181" s="40"/>
    </row>
    <row r="182" customFormat="false" ht="16.5" hidden="false" customHeight="false" outlineLevel="0" collapsed="false">
      <c r="A182" s="35"/>
      <c r="B182" s="36"/>
      <c r="C182" s="36"/>
      <c r="D182" s="37"/>
    </row>
    <row r="183" customFormat="false" ht="16.5" hidden="false" customHeight="false" outlineLevel="0" collapsed="false">
      <c r="A183" s="38"/>
      <c r="B183" s="39"/>
      <c r="C183" s="39"/>
      <c r="D183" s="40"/>
    </row>
    <row r="184" customFormat="false" ht="16.5" hidden="false" customHeight="false" outlineLevel="0" collapsed="false">
      <c r="A184" s="35"/>
      <c r="B184" s="36"/>
      <c r="C184" s="36"/>
      <c r="D184" s="37"/>
    </row>
    <row r="185" customFormat="false" ht="16.5" hidden="false" customHeight="false" outlineLevel="0" collapsed="false">
      <c r="A185" s="38"/>
      <c r="B185" s="39"/>
      <c r="C185" s="39"/>
      <c r="D185" s="40"/>
    </row>
    <row r="186" customFormat="false" ht="16.5" hidden="false" customHeight="false" outlineLevel="0" collapsed="false">
      <c r="A186" s="35"/>
      <c r="B186" s="36"/>
      <c r="C186" s="36"/>
      <c r="D186" s="37"/>
    </row>
    <row r="187" customFormat="false" ht="16.5" hidden="false" customHeight="false" outlineLevel="0" collapsed="false">
      <c r="A187" s="38"/>
      <c r="B187" s="39"/>
      <c r="C187" s="39"/>
      <c r="D187" s="40"/>
    </row>
    <row r="188" customFormat="false" ht="16.5" hidden="false" customHeight="false" outlineLevel="0" collapsed="false">
      <c r="A188" s="35"/>
      <c r="B188" s="36"/>
      <c r="C188" s="36"/>
      <c r="D188" s="37"/>
    </row>
    <row r="189" customFormat="false" ht="16.5" hidden="false" customHeight="false" outlineLevel="0" collapsed="false">
      <c r="A189" s="38"/>
      <c r="B189" s="39"/>
      <c r="C189" s="39"/>
      <c r="D189" s="40"/>
    </row>
    <row r="190" customFormat="false" ht="16.5" hidden="false" customHeight="false" outlineLevel="0" collapsed="false">
      <c r="A190" s="35"/>
      <c r="B190" s="36"/>
      <c r="C190" s="36"/>
      <c r="D190" s="37"/>
    </row>
    <row r="191" customFormat="false" ht="16.5" hidden="false" customHeight="false" outlineLevel="0" collapsed="false">
      <c r="A191" s="38"/>
      <c r="B191" s="39"/>
      <c r="C191" s="39"/>
      <c r="D191" s="40"/>
    </row>
    <row r="192" customFormat="false" ht="16.5" hidden="false" customHeight="false" outlineLevel="0" collapsed="false">
      <c r="A192" s="35"/>
      <c r="B192" s="36"/>
      <c r="C192" s="36"/>
      <c r="D192" s="37"/>
    </row>
    <row r="193" customFormat="false" ht="16.5" hidden="false" customHeight="false" outlineLevel="0" collapsed="false">
      <c r="A193" s="38"/>
      <c r="B193" s="39"/>
      <c r="C193" s="39"/>
      <c r="D193" s="40"/>
    </row>
    <row r="194" customFormat="false" ht="16.5" hidden="false" customHeight="false" outlineLevel="0" collapsed="false">
      <c r="A194" s="35"/>
      <c r="B194" s="36"/>
      <c r="C194" s="36"/>
      <c r="D194" s="37"/>
    </row>
    <row r="195" customFormat="false" ht="16.5" hidden="false" customHeight="false" outlineLevel="0" collapsed="false">
      <c r="A195" s="38"/>
      <c r="B195" s="39"/>
      <c r="C195" s="39"/>
      <c r="D195" s="40"/>
    </row>
    <row r="196" customFormat="false" ht="16.5" hidden="false" customHeight="false" outlineLevel="0" collapsed="false">
      <c r="A196" s="35"/>
      <c r="B196" s="36"/>
      <c r="C196" s="36"/>
      <c r="D196" s="37"/>
    </row>
    <row r="197" customFormat="false" ht="16.5" hidden="false" customHeight="false" outlineLevel="0" collapsed="false">
      <c r="A197" s="38"/>
      <c r="B197" s="39"/>
      <c r="C197" s="39"/>
      <c r="D197" s="40"/>
    </row>
    <row r="198" customFormat="false" ht="16.5" hidden="false" customHeight="false" outlineLevel="0" collapsed="false">
      <c r="A198" s="35"/>
      <c r="B198" s="36"/>
      <c r="C198" s="36"/>
      <c r="D198" s="37"/>
    </row>
    <row r="199" customFormat="false" ht="16.5" hidden="false" customHeight="false" outlineLevel="0" collapsed="false">
      <c r="A199" s="38"/>
      <c r="B199" s="39"/>
      <c r="C199" s="39"/>
      <c r="D199" s="40"/>
    </row>
    <row r="200" customFormat="false" ht="16.5" hidden="false" customHeight="false" outlineLevel="0" collapsed="false">
      <c r="A200" s="35"/>
      <c r="B200" s="36"/>
      <c r="C200" s="36"/>
      <c r="D200" s="37"/>
    </row>
    <row r="201" customFormat="false" ht="16.5" hidden="false" customHeight="false" outlineLevel="0" collapsed="false">
      <c r="A201" s="38"/>
      <c r="B201" s="39"/>
      <c r="C201" s="39"/>
      <c r="D201" s="40"/>
    </row>
    <row r="202" customFormat="false" ht="16.5" hidden="false" customHeight="false" outlineLevel="0" collapsed="false">
      <c r="A202" s="35"/>
      <c r="B202" s="36"/>
      <c r="C202" s="36"/>
      <c r="D202" s="37"/>
    </row>
    <row r="203" customFormat="false" ht="16.5" hidden="false" customHeight="false" outlineLevel="0" collapsed="false">
      <c r="A203" s="38"/>
      <c r="B203" s="39"/>
      <c r="C203" s="39"/>
      <c r="D203" s="40"/>
    </row>
    <row r="204" customFormat="false" ht="16.5" hidden="false" customHeight="false" outlineLevel="0" collapsed="false">
      <c r="A204" s="35"/>
      <c r="B204" s="36"/>
      <c r="C204" s="36"/>
      <c r="D204" s="37"/>
    </row>
    <row r="205" customFormat="false" ht="16.5" hidden="false" customHeight="false" outlineLevel="0" collapsed="false">
      <c r="A205" s="38"/>
      <c r="B205" s="39"/>
      <c r="C205" s="39"/>
      <c r="D205" s="40"/>
    </row>
    <row r="206" customFormat="false" ht="16.5" hidden="false" customHeight="false" outlineLevel="0" collapsed="false">
      <c r="A206" s="35"/>
      <c r="B206" s="36"/>
      <c r="C206" s="36"/>
      <c r="D206" s="37"/>
    </row>
    <row r="207" customFormat="false" ht="16.5" hidden="false" customHeight="false" outlineLevel="0" collapsed="false">
      <c r="A207" s="38"/>
      <c r="B207" s="39"/>
      <c r="C207" s="39"/>
      <c r="D207" s="40"/>
    </row>
    <row r="208" customFormat="false" ht="16.5" hidden="false" customHeight="false" outlineLevel="0" collapsed="false">
      <c r="A208" s="35"/>
      <c r="B208" s="36"/>
      <c r="C208" s="36"/>
      <c r="D208" s="37"/>
    </row>
    <row r="209" customFormat="false" ht="16.5" hidden="false" customHeight="false" outlineLevel="0" collapsed="false">
      <c r="A209" s="38"/>
      <c r="B209" s="39"/>
      <c r="C209" s="39"/>
      <c r="D209" s="40"/>
    </row>
    <row r="210" customFormat="false" ht="16.5" hidden="false" customHeight="false" outlineLevel="0" collapsed="false">
      <c r="A210" s="35"/>
      <c r="B210" s="36"/>
      <c r="C210" s="36"/>
      <c r="D210" s="37"/>
    </row>
    <row r="211" customFormat="false" ht="16.5" hidden="false" customHeight="false" outlineLevel="0" collapsed="false">
      <c r="A211" s="38"/>
      <c r="B211" s="39"/>
      <c r="C211" s="39"/>
      <c r="D211" s="40"/>
    </row>
    <row r="212" customFormat="false" ht="16.5" hidden="false" customHeight="false" outlineLevel="0" collapsed="false">
      <c r="A212" s="35"/>
      <c r="B212" s="36"/>
      <c r="C212" s="36"/>
      <c r="D212" s="37"/>
    </row>
    <row r="213" customFormat="false" ht="16.5" hidden="false" customHeight="false" outlineLevel="0" collapsed="false">
      <c r="A213" s="38"/>
      <c r="B213" s="39"/>
      <c r="C213" s="39"/>
      <c r="D213" s="40"/>
    </row>
    <row r="214" customFormat="false" ht="16.5" hidden="false" customHeight="false" outlineLevel="0" collapsed="false">
      <c r="A214" s="35"/>
      <c r="B214" s="36"/>
      <c r="C214" s="36"/>
      <c r="D214" s="37"/>
    </row>
    <row r="215" customFormat="false" ht="16.5" hidden="false" customHeight="false" outlineLevel="0" collapsed="false">
      <c r="A215" s="38"/>
      <c r="B215" s="39"/>
      <c r="C215" s="39"/>
      <c r="D215" s="40"/>
    </row>
    <row r="216" customFormat="false" ht="16.5" hidden="false" customHeight="false" outlineLevel="0" collapsed="false">
      <c r="A216" s="35"/>
      <c r="B216" s="36"/>
      <c r="C216" s="36"/>
      <c r="D216" s="37"/>
    </row>
    <row r="217" customFormat="false" ht="16.5" hidden="false" customHeight="false" outlineLevel="0" collapsed="false">
      <c r="A217" s="38"/>
      <c r="B217" s="39"/>
      <c r="C217" s="39"/>
      <c r="D217" s="40"/>
    </row>
    <row r="218" customFormat="false" ht="16.5" hidden="false" customHeight="false" outlineLevel="0" collapsed="false">
      <c r="A218" s="35"/>
      <c r="B218" s="36"/>
      <c r="C218" s="36"/>
      <c r="D218" s="37"/>
    </row>
    <row r="219" customFormat="false" ht="16.5" hidden="false" customHeight="false" outlineLevel="0" collapsed="false">
      <c r="A219" s="38"/>
      <c r="B219" s="39"/>
      <c r="C219" s="39"/>
      <c r="D219" s="40"/>
    </row>
    <row r="220" customFormat="false" ht="16.5" hidden="false" customHeight="false" outlineLevel="0" collapsed="false">
      <c r="A220" s="35"/>
      <c r="B220" s="36"/>
      <c r="C220" s="36"/>
      <c r="D220" s="37"/>
    </row>
    <row r="221" customFormat="false" ht="16.5" hidden="false" customHeight="false" outlineLevel="0" collapsed="false">
      <c r="A221" s="38"/>
      <c r="B221" s="39"/>
      <c r="C221" s="39"/>
      <c r="D221" s="40"/>
    </row>
    <row r="222" customFormat="false" ht="16.5" hidden="false" customHeight="false" outlineLevel="0" collapsed="false">
      <c r="A222" s="35"/>
      <c r="B222" s="36"/>
      <c r="C222" s="36"/>
      <c r="D222" s="37"/>
    </row>
    <row r="223" customFormat="false" ht="16.5" hidden="false" customHeight="false" outlineLevel="0" collapsed="false">
      <c r="A223" s="38"/>
      <c r="B223" s="39"/>
      <c r="C223" s="39"/>
      <c r="D223" s="40"/>
    </row>
    <row r="224" customFormat="false" ht="16.5" hidden="false" customHeight="false" outlineLevel="0" collapsed="false">
      <c r="A224" s="35"/>
      <c r="B224" s="36"/>
      <c r="C224" s="36"/>
      <c r="D224" s="37"/>
    </row>
    <row r="225" customFormat="false" ht="16.5" hidden="false" customHeight="false" outlineLevel="0" collapsed="false">
      <c r="A225" s="38"/>
      <c r="B225" s="39"/>
      <c r="C225" s="39"/>
      <c r="D225" s="40"/>
    </row>
    <row r="226" customFormat="false" ht="16.5" hidden="false" customHeight="false" outlineLevel="0" collapsed="false">
      <c r="A226" s="35"/>
      <c r="B226" s="36"/>
      <c r="C226" s="36"/>
      <c r="D226" s="37"/>
    </row>
    <row r="227" customFormat="false" ht="16.5" hidden="false" customHeight="false" outlineLevel="0" collapsed="false">
      <c r="A227" s="38"/>
      <c r="B227" s="39"/>
      <c r="C227" s="39"/>
      <c r="D227" s="40"/>
    </row>
    <row r="228" customFormat="false" ht="16.5" hidden="false" customHeight="false" outlineLevel="0" collapsed="false">
      <c r="A228" s="35"/>
      <c r="B228" s="36"/>
      <c r="C228" s="36"/>
      <c r="D228" s="37"/>
    </row>
    <row r="229" customFormat="false" ht="16.5" hidden="false" customHeight="false" outlineLevel="0" collapsed="false">
      <c r="A229" s="38"/>
      <c r="B229" s="39"/>
      <c r="C229" s="39"/>
      <c r="D229" s="40"/>
    </row>
    <row r="230" customFormat="false" ht="16.5" hidden="false" customHeight="false" outlineLevel="0" collapsed="false">
      <c r="A230" s="35"/>
      <c r="B230" s="36"/>
      <c r="C230" s="36"/>
      <c r="D230" s="37"/>
    </row>
    <row r="231" customFormat="false" ht="16.5" hidden="false" customHeight="false" outlineLevel="0" collapsed="false">
      <c r="A231" s="38"/>
      <c r="B231" s="39"/>
      <c r="C231" s="39"/>
      <c r="D231" s="40"/>
    </row>
    <row r="232" customFormat="false" ht="16.5" hidden="false" customHeight="false" outlineLevel="0" collapsed="false">
      <c r="A232" s="35"/>
      <c r="B232" s="36"/>
      <c r="C232" s="36"/>
      <c r="D232" s="37"/>
    </row>
    <row r="233" customFormat="false" ht="16.5" hidden="false" customHeight="false" outlineLevel="0" collapsed="false">
      <c r="A233" s="38"/>
      <c r="B233" s="39"/>
      <c r="C233" s="39"/>
      <c r="D233" s="40"/>
    </row>
    <row r="234" customFormat="false" ht="16.5" hidden="false" customHeight="false" outlineLevel="0" collapsed="false">
      <c r="A234" s="35"/>
      <c r="B234" s="36"/>
      <c r="C234" s="36"/>
      <c r="D234" s="37"/>
    </row>
    <row r="235" customFormat="false" ht="16.5" hidden="false" customHeight="false" outlineLevel="0" collapsed="false">
      <c r="A235" s="38"/>
      <c r="B235" s="39"/>
      <c r="C235" s="39"/>
      <c r="D235" s="40"/>
    </row>
    <row r="236" customFormat="false" ht="16.5" hidden="false" customHeight="false" outlineLevel="0" collapsed="false">
      <c r="A236" s="35"/>
      <c r="B236" s="36"/>
      <c r="C236" s="36"/>
      <c r="D236" s="37"/>
    </row>
    <row r="237" customFormat="false" ht="16.5" hidden="false" customHeight="false" outlineLevel="0" collapsed="false">
      <c r="A237" s="38"/>
      <c r="B237" s="39"/>
      <c r="C237" s="39"/>
      <c r="D237" s="40"/>
    </row>
    <row r="238" customFormat="false" ht="16.5" hidden="false" customHeight="false" outlineLevel="0" collapsed="false">
      <c r="A238" s="35"/>
      <c r="B238" s="36"/>
      <c r="C238" s="36"/>
      <c r="D238" s="37"/>
    </row>
    <row r="239" customFormat="false" ht="16.5" hidden="false" customHeight="false" outlineLevel="0" collapsed="false">
      <c r="A239" s="38"/>
      <c r="B239" s="39"/>
      <c r="C239" s="39"/>
      <c r="D239" s="40"/>
    </row>
    <row r="240" customFormat="false" ht="16.5" hidden="false" customHeight="false" outlineLevel="0" collapsed="false">
      <c r="A240" s="35"/>
      <c r="B240" s="36"/>
      <c r="C240" s="36"/>
      <c r="D240" s="37"/>
    </row>
    <row r="241" customFormat="false" ht="16.5" hidden="false" customHeight="false" outlineLevel="0" collapsed="false">
      <c r="A241" s="38"/>
      <c r="B241" s="39"/>
      <c r="C241" s="39"/>
      <c r="D241" s="40"/>
    </row>
    <row r="242" customFormat="false" ht="16.5" hidden="false" customHeight="false" outlineLevel="0" collapsed="false">
      <c r="A242" s="35"/>
      <c r="B242" s="36"/>
      <c r="C242" s="36"/>
      <c r="D242" s="37"/>
    </row>
    <row r="243" customFormat="false" ht="16.5" hidden="false" customHeight="false" outlineLevel="0" collapsed="false">
      <c r="A243" s="38"/>
      <c r="B243" s="39"/>
      <c r="C243" s="39"/>
      <c r="D243" s="40"/>
    </row>
    <row r="244" customFormat="false" ht="16.5" hidden="false" customHeight="false" outlineLevel="0" collapsed="false">
      <c r="A244" s="35"/>
      <c r="B244" s="36"/>
      <c r="C244" s="36"/>
      <c r="D244" s="37"/>
    </row>
    <row r="245" customFormat="false" ht="16.5" hidden="false" customHeight="false" outlineLevel="0" collapsed="false">
      <c r="A245" s="38"/>
      <c r="B245" s="39"/>
      <c r="C245" s="39"/>
      <c r="D245" s="40"/>
    </row>
    <row r="246" customFormat="false" ht="16.5" hidden="false" customHeight="false" outlineLevel="0" collapsed="false">
      <c r="A246" s="35"/>
      <c r="B246" s="36"/>
      <c r="C246" s="36"/>
      <c r="D246" s="37"/>
    </row>
    <row r="247" customFormat="false" ht="16.5" hidden="false" customHeight="false" outlineLevel="0" collapsed="false">
      <c r="A247" s="38"/>
      <c r="B247" s="39"/>
      <c r="C247" s="39"/>
      <c r="D247" s="40"/>
    </row>
    <row r="248" customFormat="false" ht="16.5" hidden="false" customHeight="false" outlineLevel="0" collapsed="false">
      <c r="A248" s="35"/>
      <c r="B248" s="36"/>
      <c r="C248" s="36"/>
      <c r="D248" s="37"/>
    </row>
    <row r="249" customFormat="false" ht="16.5" hidden="false" customHeight="false" outlineLevel="0" collapsed="false">
      <c r="A249" s="38"/>
      <c r="B249" s="39"/>
      <c r="C249" s="39"/>
      <c r="D249" s="40"/>
    </row>
    <row r="250" customFormat="false" ht="16.5" hidden="false" customHeight="false" outlineLevel="0" collapsed="false">
      <c r="A250" s="35"/>
      <c r="B250" s="36"/>
      <c r="C250" s="36"/>
      <c r="D250" s="37"/>
    </row>
    <row r="251" customFormat="false" ht="16.5" hidden="false" customHeight="false" outlineLevel="0" collapsed="false">
      <c r="A251" s="38"/>
      <c r="B251" s="39"/>
      <c r="C251" s="39"/>
      <c r="D251" s="40"/>
    </row>
    <row r="252" customFormat="false" ht="16.5" hidden="false" customHeight="false" outlineLevel="0" collapsed="false">
      <c r="A252" s="35"/>
      <c r="B252" s="36"/>
      <c r="C252" s="36"/>
      <c r="D252" s="37"/>
    </row>
    <row r="253" customFormat="false" ht="16.5" hidden="false" customHeight="false" outlineLevel="0" collapsed="false">
      <c r="A253" s="38"/>
      <c r="B253" s="39"/>
      <c r="C253" s="39"/>
      <c r="D253" s="40"/>
    </row>
    <row r="254" customFormat="false" ht="16.5" hidden="false" customHeight="false" outlineLevel="0" collapsed="false">
      <c r="A254" s="35"/>
      <c r="B254" s="36"/>
      <c r="C254" s="36"/>
      <c r="D254" s="37"/>
    </row>
    <row r="255" customFormat="false" ht="16.5" hidden="false" customHeight="false" outlineLevel="0" collapsed="false">
      <c r="A255" s="38"/>
      <c r="B255" s="39"/>
      <c r="C255" s="39"/>
      <c r="D255" s="40"/>
    </row>
    <row r="256" customFormat="false" ht="16.5" hidden="false" customHeight="false" outlineLevel="0" collapsed="false">
      <c r="A256" s="35"/>
      <c r="B256" s="36"/>
      <c r="C256" s="36"/>
      <c r="D256" s="37"/>
    </row>
    <row r="257" customFormat="false" ht="16.5" hidden="false" customHeight="false" outlineLevel="0" collapsed="false">
      <c r="A257" s="38"/>
      <c r="B257" s="39"/>
      <c r="C257" s="39"/>
      <c r="D257" s="40"/>
    </row>
    <row r="258" customFormat="false" ht="16.5" hidden="false" customHeight="false" outlineLevel="0" collapsed="false">
      <c r="A258" s="35"/>
      <c r="B258" s="36"/>
      <c r="C258" s="36"/>
      <c r="D258" s="37"/>
    </row>
    <row r="259" customFormat="false" ht="16.5" hidden="false" customHeight="false" outlineLevel="0" collapsed="false">
      <c r="A259" s="38"/>
      <c r="B259" s="39"/>
      <c r="C259" s="39"/>
      <c r="D259" s="40"/>
    </row>
    <row r="260" customFormat="false" ht="16.5" hidden="false" customHeight="false" outlineLevel="0" collapsed="false">
      <c r="A260" s="35"/>
      <c r="B260" s="36"/>
      <c r="C260" s="36"/>
      <c r="D260" s="37"/>
    </row>
    <row r="261" customFormat="false" ht="16.5" hidden="false" customHeight="false" outlineLevel="0" collapsed="false">
      <c r="A261" s="38"/>
      <c r="B261" s="39"/>
      <c r="C261" s="39"/>
      <c r="D261" s="40"/>
    </row>
    <row r="262" customFormat="false" ht="16.5" hidden="false" customHeight="false" outlineLevel="0" collapsed="false">
      <c r="A262" s="35"/>
      <c r="B262" s="36"/>
      <c r="C262" s="36"/>
      <c r="D262" s="37"/>
    </row>
    <row r="263" customFormat="false" ht="16.5" hidden="false" customHeight="false" outlineLevel="0" collapsed="false">
      <c r="A263" s="38"/>
      <c r="B263" s="39"/>
      <c r="C263" s="39"/>
      <c r="D263" s="40"/>
    </row>
    <row r="264" customFormat="false" ht="16.5" hidden="false" customHeight="false" outlineLevel="0" collapsed="false">
      <c r="A264" s="35"/>
      <c r="B264" s="36"/>
      <c r="C264" s="36"/>
      <c r="D264" s="37"/>
    </row>
    <row r="265" customFormat="false" ht="16.5" hidden="false" customHeight="false" outlineLevel="0" collapsed="false">
      <c r="A265" s="38"/>
      <c r="B265" s="39"/>
      <c r="C265" s="39"/>
      <c r="D265" s="40"/>
    </row>
    <row r="266" customFormat="false" ht="16.5" hidden="false" customHeight="false" outlineLevel="0" collapsed="false">
      <c r="A266" s="35"/>
      <c r="B266" s="36"/>
      <c r="C266" s="36"/>
      <c r="D266" s="37"/>
    </row>
    <row r="267" customFormat="false" ht="16.5" hidden="false" customHeight="false" outlineLevel="0" collapsed="false">
      <c r="A267" s="38"/>
      <c r="B267" s="39"/>
      <c r="C267" s="39"/>
      <c r="D267" s="40"/>
    </row>
    <row r="268" customFormat="false" ht="16.5" hidden="false" customHeight="false" outlineLevel="0" collapsed="false">
      <c r="A268" s="35"/>
      <c r="B268" s="36"/>
      <c r="C268" s="36"/>
      <c r="D268" s="37"/>
    </row>
    <row r="269" customFormat="false" ht="16.5" hidden="false" customHeight="false" outlineLevel="0" collapsed="false">
      <c r="A269" s="38"/>
      <c r="B269" s="39"/>
      <c r="C269" s="39"/>
      <c r="D269" s="40"/>
    </row>
    <row r="270" customFormat="false" ht="16.5" hidden="false" customHeight="false" outlineLevel="0" collapsed="false">
      <c r="A270" s="35"/>
      <c r="B270" s="36"/>
      <c r="C270" s="36"/>
      <c r="D270" s="37"/>
    </row>
    <row r="271" customFormat="false" ht="16.5" hidden="false" customHeight="false" outlineLevel="0" collapsed="false">
      <c r="A271" s="38"/>
      <c r="B271" s="39"/>
      <c r="C271" s="39"/>
      <c r="D271" s="40"/>
    </row>
    <row r="272" customFormat="false" ht="16.5" hidden="false" customHeight="false" outlineLevel="0" collapsed="false">
      <c r="A272" s="35"/>
      <c r="B272" s="36"/>
      <c r="C272" s="36"/>
      <c r="D272" s="37"/>
    </row>
    <row r="273" customFormat="false" ht="16.5" hidden="false" customHeight="false" outlineLevel="0" collapsed="false">
      <c r="A273" s="38"/>
      <c r="B273" s="39"/>
      <c r="C273" s="39"/>
      <c r="D273" s="40"/>
    </row>
    <row r="274" customFormat="false" ht="16.5" hidden="false" customHeight="false" outlineLevel="0" collapsed="false">
      <c r="A274" s="35"/>
      <c r="B274" s="36"/>
      <c r="C274" s="36"/>
      <c r="D274" s="37"/>
    </row>
    <row r="275" customFormat="false" ht="16.5" hidden="false" customHeight="false" outlineLevel="0" collapsed="false">
      <c r="A275" s="38"/>
      <c r="B275" s="39"/>
      <c r="C275" s="39"/>
      <c r="D275" s="40"/>
    </row>
    <row r="276" customFormat="false" ht="16.5" hidden="false" customHeight="false" outlineLevel="0" collapsed="false">
      <c r="A276" s="35"/>
      <c r="B276" s="36"/>
      <c r="C276" s="36"/>
      <c r="D276" s="37"/>
    </row>
    <row r="277" customFormat="false" ht="16.5" hidden="false" customHeight="false" outlineLevel="0" collapsed="false">
      <c r="A277" s="38"/>
      <c r="B277" s="39"/>
      <c r="C277" s="39"/>
      <c r="D277" s="40"/>
    </row>
    <row r="278" customFormat="false" ht="16.5" hidden="false" customHeight="false" outlineLevel="0" collapsed="false">
      <c r="A278" s="35"/>
      <c r="B278" s="36"/>
      <c r="C278" s="36"/>
      <c r="D278" s="37"/>
    </row>
    <row r="279" customFormat="false" ht="16.5" hidden="false" customHeight="false" outlineLevel="0" collapsed="false">
      <c r="A279" s="38"/>
      <c r="B279" s="39"/>
      <c r="C279" s="39"/>
      <c r="D279" s="40"/>
    </row>
    <row r="280" customFormat="false" ht="16.5" hidden="false" customHeight="false" outlineLevel="0" collapsed="false">
      <c r="A280" s="35"/>
      <c r="B280" s="36"/>
      <c r="C280" s="36"/>
      <c r="D280" s="37"/>
    </row>
    <row r="281" customFormat="false" ht="16.5" hidden="false" customHeight="false" outlineLevel="0" collapsed="false">
      <c r="A281" s="38"/>
      <c r="B281" s="39"/>
      <c r="C281" s="39"/>
      <c r="D281" s="40"/>
    </row>
    <row r="282" customFormat="false" ht="16.5" hidden="false" customHeight="false" outlineLevel="0" collapsed="false">
      <c r="A282" s="35"/>
      <c r="B282" s="36"/>
      <c r="C282" s="36"/>
      <c r="D282" s="37"/>
    </row>
    <row r="283" customFormat="false" ht="16.5" hidden="false" customHeight="false" outlineLevel="0" collapsed="false">
      <c r="A283" s="38"/>
      <c r="B283" s="39"/>
      <c r="C283" s="39"/>
      <c r="D283" s="40"/>
    </row>
    <row r="284" customFormat="false" ht="16.5" hidden="false" customHeight="false" outlineLevel="0" collapsed="false">
      <c r="A284" s="35"/>
      <c r="B284" s="36"/>
      <c r="C284" s="36"/>
      <c r="D284" s="37"/>
    </row>
    <row r="285" customFormat="false" ht="16.5" hidden="false" customHeight="false" outlineLevel="0" collapsed="false">
      <c r="A285" s="38"/>
      <c r="B285" s="39"/>
      <c r="C285" s="39"/>
      <c r="D285" s="40"/>
    </row>
    <row r="286" customFormat="false" ht="16.5" hidden="false" customHeight="false" outlineLevel="0" collapsed="false">
      <c r="A286" s="35"/>
      <c r="B286" s="36"/>
      <c r="C286" s="36"/>
      <c r="D286" s="37"/>
    </row>
    <row r="287" customFormat="false" ht="16.5" hidden="false" customHeight="false" outlineLevel="0" collapsed="false">
      <c r="A287" s="38"/>
      <c r="B287" s="39"/>
      <c r="C287" s="39"/>
      <c r="D287" s="40"/>
    </row>
    <row r="288" customFormat="false" ht="16.5" hidden="false" customHeight="false" outlineLevel="0" collapsed="false">
      <c r="A288" s="35"/>
      <c r="B288" s="36"/>
      <c r="C288" s="36"/>
      <c r="D288" s="37"/>
    </row>
    <row r="289" customFormat="false" ht="16.5" hidden="false" customHeight="false" outlineLevel="0" collapsed="false">
      <c r="A289" s="38"/>
      <c r="B289" s="39"/>
      <c r="C289" s="39"/>
      <c r="D289" s="40"/>
    </row>
    <row r="290" customFormat="false" ht="16.5" hidden="false" customHeight="false" outlineLevel="0" collapsed="false">
      <c r="A290" s="35"/>
      <c r="B290" s="36"/>
      <c r="C290" s="36"/>
      <c r="D290" s="37"/>
    </row>
    <row r="291" customFormat="false" ht="16.5" hidden="false" customHeight="false" outlineLevel="0" collapsed="false">
      <c r="A291" s="38"/>
      <c r="B291" s="39"/>
      <c r="C291" s="39"/>
      <c r="D291" s="40"/>
    </row>
    <row r="292" customFormat="false" ht="16.5" hidden="false" customHeight="false" outlineLevel="0" collapsed="false">
      <c r="A292" s="35"/>
      <c r="B292" s="36"/>
      <c r="C292" s="36"/>
      <c r="D292" s="37"/>
    </row>
    <row r="293" customFormat="false" ht="16.5" hidden="false" customHeight="false" outlineLevel="0" collapsed="false">
      <c r="A293" s="38"/>
      <c r="B293" s="39"/>
      <c r="C293" s="39"/>
      <c r="D293" s="40"/>
    </row>
    <row r="294" customFormat="false" ht="16.5" hidden="false" customHeight="false" outlineLevel="0" collapsed="false">
      <c r="A294" s="35"/>
      <c r="B294" s="36"/>
      <c r="C294" s="36"/>
      <c r="D294" s="37"/>
    </row>
    <row r="295" customFormat="false" ht="16.5" hidden="false" customHeight="false" outlineLevel="0" collapsed="false">
      <c r="A295" s="38"/>
      <c r="B295" s="39"/>
      <c r="C295" s="39"/>
      <c r="D295" s="40"/>
    </row>
    <row r="296" customFormat="false" ht="16.5" hidden="false" customHeight="false" outlineLevel="0" collapsed="false">
      <c r="A296" s="35"/>
      <c r="B296" s="36"/>
      <c r="C296" s="36"/>
      <c r="D296" s="37"/>
    </row>
    <row r="297" customFormat="false" ht="16.5" hidden="false" customHeight="false" outlineLevel="0" collapsed="false">
      <c r="A297" s="38"/>
      <c r="B297" s="39"/>
      <c r="C297" s="39"/>
      <c r="D297" s="40"/>
    </row>
    <row r="298" customFormat="false" ht="16.5" hidden="false" customHeight="false" outlineLevel="0" collapsed="false">
      <c r="A298" s="35"/>
      <c r="B298" s="36"/>
      <c r="C298" s="36"/>
      <c r="D298" s="37"/>
    </row>
    <row r="299" customFormat="false" ht="16.5" hidden="false" customHeight="false" outlineLevel="0" collapsed="false">
      <c r="A299" s="38"/>
      <c r="B299" s="39"/>
      <c r="C299" s="39"/>
      <c r="D299" s="40"/>
    </row>
    <row r="300" customFormat="false" ht="16.5" hidden="false" customHeight="false" outlineLevel="0" collapsed="false">
      <c r="A300" s="35"/>
      <c r="B300" s="36"/>
      <c r="C300" s="36"/>
      <c r="D300" s="37"/>
    </row>
    <row r="301" customFormat="false" ht="16.5" hidden="false" customHeight="false" outlineLevel="0" collapsed="false">
      <c r="A301" s="38"/>
      <c r="B301" s="39"/>
      <c r="C301" s="39"/>
      <c r="D301" s="40"/>
    </row>
    <row r="302" customFormat="false" ht="16.5" hidden="false" customHeight="false" outlineLevel="0" collapsed="false">
      <c r="A302" s="35"/>
      <c r="B302" s="36"/>
      <c r="C302" s="36"/>
      <c r="D302" s="37"/>
    </row>
    <row r="303" customFormat="false" ht="16.5" hidden="false" customHeight="false" outlineLevel="0" collapsed="false">
      <c r="A303" s="38"/>
      <c r="B303" s="39"/>
      <c r="C303" s="39"/>
      <c r="D303" s="40"/>
    </row>
    <row r="304" customFormat="false" ht="16.5" hidden="false" customHeight="false" outlineLevel="0" collapsed="false">
      <c r="A304" s="35"/>
      <c r="B304" s="36"/>
      <c r="C304" s="36"/>
      <c r="D304" s="37"/>
    </row>
    <row r="305" customFormat="false" ht="16.5" hidden="false" customHeight="false" outlineLevel="0" collapsed="false">
      <c r="A305" s="38"/>
      <c r="B305" s="39"/>
      <c r="C305" s="39"/>
      <c r="D305" s="40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1" t="str">
        <f aca="false">CHOOSE($B$4,"January","February","March","April","May","June","July","August","September","October","November","December")&amp;" "&amp;$D$4</f>
        <v>August 2026</v>
      </c>
      <c r="F4" s="41"/>
      <c r="G4" s="41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8" hidden="false" customHeight="true" outlineLevel="0" collapsed="false">
      <c r="A6" s="42" t="s">
        <v>26</v>
      </c>
      <c r="B6" s="42"/>
      <c r="C6" s="42" t="s">
        <v>104</v>
      </c>
      <c r="D6" s="42"/>
      <c r="E6" s="42" t="s">
        <v>105</v>
      </c>
      <c r="F6" s="42"/>
      <c r="G6" s="42"/>
      <c r="H6" s="42" t="s">
        <v>106</v>
      </c>
      <c r="I6" s="42"/>
      <c r="J6" s="2"/>
      <c r="K6" s="2"/>
      <c r="L6" s="2"/>
      <c r="M6" s="2"/>
      <c r="N6" s="2"/>
      <c r="O6" s="2"/>
    </row>
    <row r="7" customFormat="false" ht="31.5" hidden="false" customHeight="true" outlineLevel="0" collapsed="false">
      <c r="A7" s="43" t="n">
        <f aca="false">SUM('Budget Setup'!$B$7:$B$10)</f>
        <v>4550</v>
      </c>
      <c r="B7" s="43"/>
      <c r="C7" s="43" t="n">
        <f aca="false">SUM('Budget Setup'!$B$15:$B$34)</f>
        <v>4455</v>
      </c>
      <c r="D7" s="43"/>
      <c r="E7" s="44" t="n">
        <f aca="false">SUMIFS(Transactions!$D$6:$D$305,Transactions!$A$6:$A$305,"&gt;="&amp;DATE($D$4,$B$4,1),Transactions!$A$6:$A$305,"&lt;"&amp;DATE($D$4,$B$4+1,1))</f>
        <v>1783.5</v>
      </c>
      <c r="F7" s="44"/>
      <c r="G7" s="44"/>
      <c r="H7" s="45" t="n">
        <f aca="false">C7-E7</f>
        <v>2671.5</v>
      </c>
      <c r="I7" s="45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21.7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6" t="str">
        <f aca="false">IF('Budget Setup'!A15="","",'Budget Setup'!A15)</f>
        <v>Housing</v>
      </c>
      <c r="B12" s="47" t="n">
        <f aca="false">IF($A12="","",'Budget Setup'!B15)</f>
        <v>1600</v>
      </c>
      <c r="C12" s="47" t="n">
        <f aca="false">IF($A12="","",SUMIFS(Transactions!$D$6:$D$305,Transactions!$C$6:$C$305,$A12,Transactions!$A$6:$A$305,"&gt;="&amp;DATE($D$4,$B$4,1),Transactions!$A$6:$A$305,"&lt;"&amp;DATE($D$4,$B$4+1,1)))</f>
        <v>1600</v>
      </c>
      <c r="D12" s="47" t="n">
        <f aca="false">IF($A12="","",$B12-$C12)</f>
        <v>0</v>
      </c>
      <c r="E12" s="48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6" t="str">
        <f aca="false">IF('Budget Setup'!A16="","",'Budget Setup'!A16)</f>
        <v>Groceries</v>
      </c>
      <c r="B13" s="47" t="n">
        <f aca="false">IF($A13="","",'Budget Setup'!B16)</f>
        <v>550</v>
      </c>
      <c r="C13" s="47" t="n">
        <f aca="false">IF($A13="","",SUMIFS(Transactions!$D$6:$D$305,Transactions!$C$6:$C$305,$A13,Transactions!$A$6:$A$305,"&gt;="&amp;DATE($D$4,$B$4,1),Transactions!$A$6:$A$305,"&lt;"&amp;DATE($D$4,$B$4+1,1)))</f>
        <v>84.2</v>
      </c>
      <c r="D13" s="47" t="n">
        <f aca="false">IF($A13="","",$B13-$C13)</f>
        <v>465.8</v>
      </c>
      <c r="E13" s="48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6" t="str">
        <f aca="false">IF('Budget Setup'!A17="","",'Budget Setup'!A17)</f>
        <v>Dining out</v>
      </c>
      <c r="B14" s="47" t="n">
        <f aca="false">IF($A14="","",'Budget Setup'!B17)</f>
        <v>250</v>
      </c>
      <c r="C14" s="47" t="n">
        <f aca="false">IF($A14="","",SUMIFS(Transactions!$D$6:$D$305,Transactions!$C$6:$C$305,$A14,Transactions!$A$6:$A$305,"&gt;="&amp;DATE($D$4,$B$4,1),Transactions!$A$6:$A$305,"&lt;"&amp;DATE($D$4,$B$4+1,1)))</f>
        <v>56.8</v>
      </c>
      <c r="D14" s="47" t="n">
        <f aca="false">IF($A14="","",$B14-$C14)</f>
        <v>193.2</v>
      </c>
      <c r="E14" s="48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6" t="str">
        <f aca="false">IF('Budget Setup'!A18="","",'Budget Setup'!A18)</f>
        <v>Transport</v>
      </c>
      <c r="B15" s="47" t="n">
        <f aca="false">IF($A15="","",'Budget Setup'!B18)</f>
        <v>200</v>
      </c>
      <c r="C15" s="47" t="n">
        <f aca="false">IF($A15="","",SUMIFS(Transactions!$D$6:$D$305,Transactions!$C$6:$C$305,$A15,Transactions!$A$6:$A$305,"&gt;="&amp;DATE($D$4,$B$4,1),Transactions!$A$6:$A$305,"&lt;"&amp;DATE($D$4,$B$4+1,1)))</f>
        <v>42.5</v>
      </c>
      <c r="D15" s="47" t="n">
        <f aca="false">IF($A15="","",$B15-$C15)</f>
        <v>157.5</v>
      </c>
      <c r="E15" s="48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6" t="str">
        <f aca="false">IF('Budget Setup'!A19="","",'Budget Setup'!A19)</f>
        <v>Utilities</v>
      </c>
      <c r="B16" s="47" t="n">
        <f aca="false">IF($A16="","",'Budget Setup'!B19)</f>
        <v>180</v>
      </c>
      <c r="C16" s="47" t="n">
        <f aca="false">IF($A16="","",SUMIFS(Transactions!$D$6:$D$305,Transactions!$C$6:$C$305,$A16,Transactions!$A$6:$A$305,"&gt;="&amp;DATE($D$4,$B$4,1),Transactions!$A$6:$A$305,"&lt;"&amp;DATE($D$4,$B$4+1,1)))</f>
        <v>0</v>
      </c>
      <c r="D16" s="47" t="n">
        <f aca="false">IF($A16="","",$B16-$C16)</f>
        <v>180</v>
      </c>
      <c r="E16" s="48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6" t="str">
        <f aca="false">IF('Budget Setup'!A20="","",'Budget Setup'!A20)</f>
        <v>Phone &amp; internet</v>
      </c>
      <c r="B17" s="47" t="n">
        <f aca="false">IF($A17="","",'Budget Setup'!B20)</f>
        <v>95</v>
      </c>
      <c r="C17" s="47" t="n">
        <f aca="false">IF($A17="","",SUMIFS(Transactions!$D$6:$D$305,Transactions!$C$6:$C$305,$A17,Transactions!$A$6:$A$305,"&gt;="&amp;DATE($D$4,$B$4,1),Transactions!$A$6:$A$305,"&lt;"&amp;DATE($D$4,$B$4+1,1)))</f>
        <v>0</v>
      </c>
      <c r="D17" s="47" t="n">
        <f aca="false">IF($A17="","",$B17-$C17)</f>
        <v>95</v>
      </c>
      <c r="E17" s="48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6" t="str">
        <f aca="false">IF('Budget Setup'!A21="","",'Budget Setup'!A21)</f>
        <v>Insurance</v>
      </c>
      <c r="B18" s="47" t="n">
        <f aca="false">IF($A18="","",'Budget Setup'!B21)</f>
        <v>140</v>
      </c>
      <c r="C18" s="47" t="n">
        <f aca="false">IF($A18="","",SUMIFS(Transactions!$D$6:$D$305,Transactions!$C$6:$C$305,$A18,Transactions!$A$6:$A$305,"&gt;="&amp;DATE($D$4,$B$4,1),Transactions!$A$6:$A$305,"&lt;"&amp;DATE($D$4,$B$4+1,1)))</f>
        <v>0</v>
      </c>
      <c r="D18" s="47" t="n">
        <f aca="false">IF($A18="","",$B18-$C18)</f>
        <v>140</v>
      </c>
      <c r="E18" s="48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6" t="str">
        <f aca="false">IF('Budget Setup'!A22="","",'Budget Setup'!A22)</f>
        <v>Health &amp; fitness</v>
      </c>
      <c r="B19" s="47" t="n">
        <f aca="false">IF($A19="","",'Budget Setup'!B22)</f>
        <v>90</v>
      </c>
      <c r="C19" s="47" t="n">
        <f aca="false">IF($A19="","",SUMIFS(Transactions!$D$6:$D$305,Transactions!$C$6:$C$305,$A19,Transactions!$A$6:$A$305,"&gt;="&amp;DATE($D$4,$B$4,1),Transactions!$A$6:$A$305,"&lt;"&amp;DATE($D$4,$B$4+1,1)))</f>
        <v>0</v>
      </c>
      <c r="D19" s="47" t="n">
        <f aca="false">IF($A19="","",$B19-$C19)</f>
        <v>90</v>
      </c>
      <c r="E19" s="48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6" t="str">
        <f aca="false">IF('Budget Setup'!A23="","",'Budget Setup'!A23)</f>
        <v>Entertainment</v>
      </c>
      <c r="B20" s="47" t="n">
        <f aca="false">IF($A20="","",'Budget Setup'!B23)</f>
        <v>120</v>
      </c>
      <c r="C20" s="47" t="n">
        <f aca="false">IF($A20="","",SUMIFS(Transactions!$D$6:$D$305,Transactions!$C$6:$C$305,$A20,Transactions!$A$6:$A$305,"&gt;="&amp;DATE($D$4,$B$4,1),Transactions!$A$6:$A$305,"&lt;"&amp;DATE($D$4,$B$4+1,1)))</f>
        <v>0</v>
      </c>
      <c r="D20" s="47" t="n">
        <f aca="false">IF($A20="","",$B20-$C20)</f>
        <v>120</v>
      </c>
      <c r="E20" s="48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6" t="str">
        <f aca="false">IF('Budget Setup'!A24="","",'Budget Setup'!A24)</f>
        <v>Subscriptions</v>
      </c>
      <c r="B21" s="47" t="n">
        <f aca="false">IF($A21="","",'Budget Setup'!B24)</f>
        <v>60</v>
      </c>
      <c r="C21" s="47" t="n">
        <f aca="false">IF($A21="","",SUMIFS(Transactions!$D$6:$D$305,Transactions!$C$6:$C$305,$A21,Transactions!$A$6:$A$305,"&gt;="&amp;DATE($D$4,$B$4,1),Transactions!$A$6:$A$305,"&lt;"&amp;DATE($D$4,$B$4+1,1)))</f>
        <v>0</v>
      </c>
      <c r="D21" s="47" t="n">
        <f aca="false">IF($A21="","",$B21-$C21)</f>
        <v>60</v>
      </c>
      <c r="E21" s="48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6" t="str">
        <f aca="false">IF('Budget Setup'!A25="","",'Budget Setup'!A25)</f>
        <v>Shopping</v>
      </c>
      <c r="B22" s="47" t="n">
        <f aca="false">IF($A22="","",'Budget Setup'!B25)</f>
        <v>150</v>
      </c>
      <c r="C22" s="47" t="n">
        <f aca="false">IF($A22="","",SUMIFS(Transactions!$D$6:$D$305,Transactions!$C$6:$C$305,$A22,Transactions!$A$6:$A$305,"&gt;="&amp;DATE($D$4,$B$4,1),Transactions!$A$6:$A$305,"&lt;"&amp;DATE($D$4,$B$4+1,1)))</f>
        <v>0</v>
      </c>
      <c r="D22" s="47" t="n">
        <f aca="false">IF($A22="","",$B22-$C22)</f>
        <v>150</v>
      </c>
      <c r="E22" s="48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6" t="str">
        <f aca="false">IF('Budget Setup'!A26="","",'Budget Setup'!A26)</f>
        <v>Personal care</v>
      </c>
      <c r="B23" s="47" t="n">
        <f aca="false">IF($A23="","",'Budget Setup'!B26)</f>
        <v>70</v>
      </c>
      <c r="C23" s="47" t="n">
        <f aca="false">IF($A23="","",SUMIFS(Transactions!$D$6:$D$305,Transactions!$C$6:$C$305,$A23,Transactions!$A$6:$A$305,"&gt;="&amp;DATE($D$4,$B$4,1),Transactions!$A$6:$A$305,"&lt;"&amp;DATE($D$4,$B$4+1,1)))</f>
        <v>0</v>
      </c>
      <c r="D23" s="47" t="n">
        <f aca="false">IF($A23="","",$B23-$C23)</f>
        <v>70</v>
      </c>
      <c r="E23" s="48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6" t="str">
        <f aca="false">IF('Budget Setup'!A27="","",'Budget Setup'!A27)</f>
        <v>Savings &amp; investing</v>
      </c>
      <c r="B24" s="47" t="n">
        <f aca="false">IF($A24="","",'Budget Setup'!B27)</f>
        <v>500</v>
      </c>
      <c r="C24" s="47" t="n">
        <f aca="false">IF($A24="","",SUMIFS(Transactions!$D$6:$D$305,Transactions!$C$6:$C$305,$A24,Transactions!$A$6:$A$305,"&gt;="&amp;DATE($D$4,$B$4,1),Transactions!$A$6:$A$305,"&lt;"&amp;DATE($D$4,$B$4+1,1)))</f>
        <v>0</v>
      </c>
      <c r="D24" s="47" t="n">
        <f aca="false">IF($A24="","",$B24-$C24)</f>
        <v>500</v>
      </c>
      <c r="E24" s="48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6" t="str">
        <f aca="false">IF('Budget Setup'!A28="","",'Budget Setup'!A28)</f>
        <v>Debt payments</v>
      </c>
      <c r="B25" s="47" t="n">
        <f aca="false">IF($A25="","",'Budget Setup'!B28)</f>
        <v>300</v>
      </c>
      <c r="C25" s="47" t="n">
        <f aca="false">IF($A25="","",SUMIFS(Transactions!$D$6:$D$305,Transactions!$C$6:$C$305,$A25,Transactions!$A$6:$A$305,"&gt;="&amp;DATE($D$4,$B$4,1),Transactions!$A$6:$A$305,"&lt;"&amp;DATE($D$4,$B$4+1,1)))</f>
        <v>0</v>
      </c>
      <c r="D25" s="47" t="n">
        <f aca="false">IF($A25="","",$B25-$C25)</f>
        <v>300</v>
      </c>
      <c r="E25" s="48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6" t="str">
        <f aca="false">IF('Budget Setup'!A29="","",'Budget Setup'!A29)</f>
        <v>Everything else</v>
      </c>
      <c r="B26" s="47" t="n">
        <f aca="false">IF($A26="","",'Budget Setup'!B29)</f>
        <v>150</v>
      </c>
      <c r="C26" s="47" t="n">
        <f aca="false">IF($A26="","",SUMIFS(Transactions!$D$6:$D$305,Transactions!$C$6:$C$305,$A26,Transactions!$A$6:$A$305,"&gt;="&amp;DATE($D$4,$B$4,1),Transactions!$A$6:$A$305,"&lt;"&amp;DATE($D$4,$B$4+1,1)))</f>
        <v>0</v>
      </c>
      <c r="D26" s="47" t="n">
        <f aca="false">IF($A26="","",$B26-$C26)</f>
        <v>150</v>
      </c>
      <c r="E26" s="48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6" t="str">
        <f aca="false">IF('Budget Setup'!A30="","",'Budget Setup'!A30)</f>
        <v/>
      </c>
      <c r="B27" s="47" t="str">
        <f aca="false">IF($A27="","",'Budget Setup'!B30)</f>
        <v/>
      </c>
      <c r="C27" s="47" t="str">
        <f aca="false">IF($A27="","",SUMIFS(Transactions!$D$6:$D$305,Transactions!$C$6:$C$305,$A27,Transactions!$A$6:$A$305,"&gt;="&amp;DATE($D$4,$B$4,1),Transactions!$A$6:$A$305,"&lt;"&amp;DATE($D$4,$B$4+1,1)))</f>
        <v/>
      </c>
      <c r="D27" s="47" t="str">
        <f aca="false">IF($A27="","",$B27-$C27)</f>
        <v/>
      </c>
      <c r="E27" s="48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6" t="str">
        <f aca="false">IF('Budget Setup'!A31="","",'Budget Setup'!A31)</f>
        <v/>
      </c>
      <c r="B28" s="47" t="str">
        <f aca="false">IF($A28="","",'Budget Setup'!B31)</f>
        <v/>
      </c>
      <c r="C28" s="47" t="str">
        <f aca="false">IF($A28="","",SUMIFS(Transactions!$D$6:$D$305,Transactions!$C$6:$C$305,$A28,Transactions!$A$6:$A$305,"&gt;="&amp;DATE($D$4,$B$4,1),Transactions!$A$6:$A$305,"&lt;"&amp;DATE($D$4,$B$4+1,1)))</f>
        <v/>
      </c>
      <c r="D28" s="47" t="str">
        <f aca="false">IF($A28="","",$B28-$C28)</f>
        <v/>
      </c>
      <c r="E28" s="48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6" t="str">
        <f aca="false">IF('Budget Setup'!A32="","",'Budget Setup'!A32)</f>
        <v/>
      </c>
      <c r="B29" s="47" t="str">
        <f aca="false">IF($A29="","",'Budget Setup'!B32)</f>
        <v/>
      </c>
      <c r="C29" s="47" t="str">
        <f aca="false">IF($A29="","",SUMIFS(Transactions!$D$6:$D$305,Transactions!$C$6:$C$305,$A29,Transactions!$A$6:$A$305,"&gt;="&amp;DATE($D$4,$B$4,1),Transactions!$A$6:$A$305,"&lt;"&amp;DATE($D$4,$B$4+1,1)))</f>
        <v/>
      </c>
      <c r="D29" s="47" t="str">
        <f aca="false">IF($A29="","",$B29-$C29)</f>
        <v/>
      </c>
      <c r="E29" s="48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6" t="str">
        <f aca="false">IF('Budget Setup'!A33="","",'Budget Setup'!A33)</f>
        <v/>
      </c>
      <c r="B30" s="47" t="str">
        <f aca="false">IF($A30="","",'Budget Setup'!B33)</f>
        <v/>
      </c>
      <c r="C30" s="47" t="str">
        <f aca="false">IF($A30="","",SUMIFS(Transactions!$D$6:$D$305,Transactions!$C$6:$C$305,$A30,Transactions!$A$6:$A$305,"&gt;="&amp;DATE($D$4,$B$4,1),Transactions!$A$6:$A$305,"&lt;"&amp;DATE($D$4,$B$4+1,1)))</f>
        <v/>
      </c>
      <c r="D30" s="47" t="str">
        <f aca="false">IF($A30="","",$B30-$C30)</f>
        <v/>
      </c>
      <c r="E30" s="48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6" t="str">
        <f aca="false">IF('Budget Setup'!A34="","",'Budget Setup'!A34)</f>
        <v/>
      </c>
      <c r="B31" s="47" t="str">
        <f aca="false">IF($A31="","",'Budget Setup'!B34)</f>
        <v/>
      </c>
      <c r="C31" s="47" t="str">
        <f aca="false">IF($A31="","",SUMIFS(Transactions!$D$6:$D$305,Transactions!$C$6:$C$305,$A31,Transactions!$A$6:$A$305,"&gt;="&amp;DATE($D$4,$B$4,1),Transactions!$A$6:$A$305,"&lt;"&amp;DATE($D$4,$B$4+1,1)))</f>
        <v/>
      </c>
      <c r="D31" s="47" t="str">
        <f aca="false">IF($A31="","",$B31-$C31)</f>
        <v/>
      </c>
      <c r="E31" s="48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49" t="s">
        <v>112</v>
      </c>
      <c r="B33" s="50"/>
      <c r="C33" s="50"/>
      <c r="D33" s="50"/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24" hidden="false" customHeight="true" outlineLevel="0" collapsed="false">
      <c r="A34" s="51" t="str">
        <f aca="true">IFERROR(IF($E$7=0,"No spending logged for this month yet.",IF(AND($B$4=MONTH(TODAY()),$D$4=YEAR(TODAY())),"On pace for "&amp;TEXT(ROUND($E$7/DAY(TODAY())*DAY(EOMONTH(TODAY(),0)),0),"$#,##0")&amp;" by month-end — "&amp;IF(ROUND($E$7/DAY(TODAY())*DAY(EOMONTH(TODAY(),0)),0)&lt;=$C$7,"under","over")&amp;" your "&amp;TEXT($C$7,"$#,##0")&amp;" budget.","You spent "&amp;TEXT($E$7,"$#,##0")&amp;" — "&amp;TEXT($E$7/$C$7,"0%")&amp;" of budget.")),"")</f>
        <v>On pace for $4,607 by month-end — over your $4,455 budget.</v>
      </c>
      <c r="B34" s="51"/>
      <c r="C34" s="51"/>
      <c r="D34" s="51"/>
      <c r="E34" s="51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24" hidden="false" customHeight="true" outlineLevel="0" collapsed="false">
      <c r="A35" s="51" t="str">
        <f aca="false">IFERROR(IF(MIN($D$12:$D$31)&lt;0,INDEX($A$12:$A$31,MATCH(MIN($D$12:$D$31),$D$12:$D$31,0))&amp;" is "&amp;TEXT(-MIN($D$12:$D$31),"$#,##0")&amp;" over budget — your biggest overrun.","No category is over budget."),"")</f>
        <v>No category is over budget.</v>
      </c>
      <c r="B35" s="51"/>
      <c r="C35" s="51"/>
      <c r="D35" s="51"/>
      <c r="E35" s="51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24" hidden="false" customHeight="true" outlineLevel="0" collapsed="false">
      <c r="A36" s="51" t="str">
        <f aca="false">IFERROR(IF(MAX($D$12:$D$31)&gt;0,"Most room left: "&amp;INDEX($A$12:$A$31,MATCH(MAX($D$12:$D$31),$D$12:$D$31,0))&amp;" ("&amp;TEXT(MAX($D$12:$D$31),"$#,##0")&amp;" unspent).",""),"")</f>
        <v>Most room left: Savings &amp; investing ($500 unspent).</v>
      </c>
      <c r="B36" s="51"/>
      <c r="C36" s="51"/>
      <c r="D36" s="51"/>
      <c r="E36" s="51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24" hidden="false" customHeight="true" outlineLevel="0" collapsed="false">
      <c r="A37" s="51" t="str">
        <f aca="false">IFERROR(IF(SUMIFS(Transactions!$D$6:$D$305,Transactions!$A$6:$A$305,"&gt;="&amp;DATE($D$4,$B$4-1,1),Transactions!$A$6:$A$305,"&lt;"&amp;DATE($D$4,$B$4,1))=0,"Nothing was logged the month before.",IF($E$7&gt;=SUMIFS(Transactions!$D$6:$D$305,Transactions!$A$6:$A$305,"&gt;="&amp;DATE($D$4,$B$4-1,1),Transactions!$A$6:$A$305,"&lt;"&amp;DATE($D$4,$B$4,1)),"▲ Spending is up ","▼ Spending is down ")&amp;TEXT(ABS($E$7-SUMIFS(Transactions!$D$6:$D$305,Transactions!$A$6:$A$305,"&gt;="&amp;DATE($D$4,$B$4-1,1),Transactions!$A$6:$A$305,"&lt;"&amp;DATE($D$4,$B$4,1)))/SUMIFS(Transactions!$D$6:$D$305,Transactions!$A$6:$A$305,"&gt;="&amp;DATE($D$4,$B$4-1,1),Transactions!$A$6:$A$305,"&lt;"&amp;DATE($D$4,$B$4,1)),"0%")&amp;" vs the month before."),"")</f>
        <v>▼ Spending is down 5% vs the month before.</v>
      </c>
      <c r="B37" s="51"/>
      <c r="C37" s="51"/>
      <c r="D37" s="51"/>
      <c r="E37" s="51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4" hidden="false" customHeight="true" outlineLevel="0" collapsed="false">
      <c r="A38" s="51" t="str">
        <f aca="false">IFERROR(IF($E$7=0,"","Largest single purchase this month: "&amp;TEXT(_xlfn.MAXIFS(Transactions!$D$6:$D$305,Transactions!$A$6:$A$305,"&gt;="&amp;DATE($D$4,$B$4,1),Transactions!$A$6:$A$305,"&lt;"&amp;DATE($D$4,$B$4+1,1)),"$#,##0")&amp;"."),"")</f>
        <v>Largest single purchase this month: $1,600.</v>
      </c>
      <c r="B38" s="51"/>
      <c r="C38" s="51"/>
      <c r="D38" s="51"/>
      <c r="E38" s="51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6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  <mergeCell ref="A34:E34"/>
    <mergeCell ref="A35:E35"/>
    <mergeCell ref="A36:E36"/>
    <mergeCell ref="A37:E37"/>
    <mergeCell ref="A38:E38"/>
  </mergeCells>
  <conditionalFormatting sqref="E12:E31">
    <cfRule type="cellIs" priority="2" operator="greaterThanOrEqual" aboveAverage="0" equalAverage="0" bottom="0" percent="0" rank="0" text="" dxfId="5">
      <formula>1</formula>
    </cfRule>
    <cfRule type="cellIs" priority="3" operator="greaterThanOrEqual" aboveAverage="0" equalAverage="0" bottom="0" percent="0" rank="0" text="" dxfId="6">
      <formula>0.8</formula>
    </cfRule>
    <cfRule type="dataBar" priority="4">
      <dataBar showValue="1" minLength="10" maxLength="90">
        <cfvo type="num" val="0"/>
        <cfvo type="num" val="1"/>
        <color rgb="FF5B7A9D"/>
      </dataBar>
      <extLst>
        <ext xmlns:x14="http://schemas.microsoft.com/office/spreadsheetml/2009/9/main" uri="{B025F937-C7B1-47D3-B67F-A62EFF666E3E}">
          <x14:id>{35E4F313-BC68-40C5-AD7B-10D9FE681DAA}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E4F313-BC68-40C5-AD7B-10D9FE681DA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7A9D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21.75" hidden="false" customHeight="true" outlineLevel="0" collapsed="false">
      <c r="A7" s="12" t="s">
        <v>116</v>
      </c>
      <c r="B7" s="12" t="s">
        <v>109</v>
      </c>
      <c r="C7" s="12" t="s">
        <v>117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6" t="s">
        <v>118</v>
      </c>
      <c r="B8" s="47" t="n">
        <f aca="false">SUMIFS(Transactions!$D$6:$D$305,Transactions!$A$6:$A$305,"&gt;="&amp;DATE($B$4,1,1),Transactions!$A$6:$A$305,"&lt;"&amp;DATE($B$4,2,1))</f>
        <v>0</v>
      </c>
      <c r="C8" s="48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6" t="s">
        <v>119</v>
      </c>
      <c r="B9" s="47" t="n">
        <f aca="false">SUMIFS(Transactions!$D$6:$D$305,Transactions!$A$6:$A$305,"&gt;="&amp;DATE($B$4,2,1),Transactions!$A$6:$A$305,"&lt;"&amp;DATE($B$4,3,1))</f>
        <v>0</v>
      </c>
      <c r="C9" s="48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6" t="s">
        <v>120</v>
      </c>
      <c r="B10" s="47" t="n">
        <f aca="false">SUMIFS(Transactions!$D$6:$D$305,Transactions!$A$6:$A$305,"&gt;="&amp;DATE($B$4,3,1),Transactions!$A$6:$A$305,"&lt;"&amp;DATE($B$4,4,1))</f>
        <v>0</v>
      </c>
      <c r="C10" s="48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6" t="s">
        <v>121</v>
      </c>
      <c r="B11" s="47" t="n">
        <f aca="false">SUMIFS(Transactions!$D$6:$D$305,Transactions!$A$6:$A$305,"&gt;="&amp;DATE($B$4,4,1),Transactions!$A$6:$A$305,"&lt;"&amp;DATE($B$4,5,1))</f>
        <v>0</v>
      </c>
      <c r="C11" s="48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6" t="s">
        <v>122</v>
      </c>
      <c r="B12" s="47" t="n">
        <f aca="false">SUMIFS(Transactions!$D$6:$D$305,Transactions!$A$6:$A$305,"&gt;="&amp;DATE($B$4,5,1),Transactions!$A$6:$A$305,"&lt;"&amp;DATE($B$4,6,1))</f>
        <v>0</v>
      </c>
      <c r="C12" s="48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6" t="s">
        <v>123</v>
      </c>
      <c r="B13" s="47" t="n">
        <f aca="false">SUMIFS(Transactions!$D$6:$D$305,Transactions!$A$6:$A$305,"&gt;="&amp;DATE($B$4,6,1),Transactions!$A$6:$A$305,"&lt;"&amp;DATE($B$4,7,1))</f>
        <v>0</v>
      </c>
      <c r="C13" s="48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6" t="s">
        <v>124</v>
      </c>
      <c r="B14" s="47" t="n">
        <f aca="false">SUMIFS(Transactions!$D$6:$D$305,Transactions!$A$6:$A$305,"&gt;="&amp;DATE($B$4,7,1),Transactions!$A$6:$A$305,"&lt;"&amp;DATE($B$4,8,1))</f>
        <v>1873.5</v>
      </c>
      <c r="C14" s="48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6" t="s">
        <v>125</v>
      </c>
      <c r="B15" s="47" t="n">
        <f aca="false">SUMIFS(Transactions!$D$6:$D$305,Transactions!$A$6:$A$305,"&gt;="&amp;DATE($B$4,8,1),Transactions!$A$6:$A$305,"&lt;"&amp;DATE($B$4,9,1))</f>
        <v>1783.5</v>
      </c>
      <c r="C15" s="48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6" t="s">
        <v>126</v>
      </c>
      <c r="B16" s="47" t="n">
        <f aca="false">SUMIFS(Transactions!$D$6:$D$305,Transactions!$A$6:$A$305,"&gt;="&amp;DATE($B$4,9,1),Transactions!$A$6:$A$305,"&lt;"&amp;DATE($B$4,10,1))</f>
        <v>0</v>
      </c>
      <c r="C16" s="48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6" t="s">
        <v>127</v>
      </c>
      <c r="B17" s="47" t="n">
        <f aca="false">SUMIFS(Transactions!$D$6:$D$305,Transactions!$A$6:$A$305,"&gt;="&amp;DATE($B$4,10,1),Transactions!$A$6:$A$305,"&lt;"&amp;DATE($B$4,11,1))</f>
        <v>0</v>
      </c>
      <c r="C17" s="48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6" t="s">
        <v>128</v>
      </c>
      <c r="B18" s="47" t="n">
        <f aca="false">SUMIFS(Transactions!$D$6:$D$305,Transactions!$A$6:$A$305,"&gt;="&amp;DATE($B$4,11,1),Transactions!$A$6:$A$305,"&lt;"&amp;DATE($B$4,12,1))</f>
        <v>0</v>
      </c>
      <c r="C18" s="48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6" t="s">
        <v>129</v>
      </c>
      <c r="B19" s="47" t="n">
        <f aca="false">SUMIFS(Transactions!$D$6:$D$305,Transactions!$A$6:$A$305,"&gt;="&amp;DATE($B$4,12,1),Transactions!$A$6:$A$305,"&lt;"&amp;DATE($B$4,13,1))</f>
        <v>0</v>
      </c>
      <c r="C19" s="48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130</v>
      </c>
      <c r="B20" s="52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131</v>
      </c>
      <c r="B24" s="2"/>
      <c r="C24" s="2"/>
      <c r="D24" s="2"/>
      <c r="E24" s="15" t="s">
        <v>132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21.75" hidden="false" customHeight="true" outlineLevel="0" collapsed="false">
      <c r="A25" s="12" t="s">
        <v>33</v>
      </c>
      <c r="B25" s="12" t="s">
        <v>118</v>
      </c>
      <c r="C25" s="12" t="s">
        <v>119</v>
      </c>
      <c r="D25" s="12" t="s">
        <v>120</v>
      </c>
      <c r="E25" s="12" t="s">
        <v>121</v>
      </c>
      <c r="F25" s="12" t="s">
        <v>122</v>
      </c>
      <c r="G25" s="12" t="s">
        <v>123</v>
      </c>
      <c r="H25" s="12" t="s">
        <v>124</v>
      </c>
      <c r="I25" s="12" t="s">
        <v>125</v>
      </c>
      <c r="J25" s="12" t="s">
        <v>126</v>
      </c>
      <c r="K25" s="12" t="s">
        <v>127</v>
      </c>
      <c r="L25" s="12" t="s">
        <v>128</v>
      </c>
      <c r="M25" s="12" t="s">
        <v>129</v>
      </c>
      <c r="N25" s="2"/>
      <c r="O25" s="2"/>
      <c r="P25" s="2"/>
    </row>
    <row r="26" customFormat="false" ht="16.5" hidden="false" customHeight="false" outlineLevel="0" collapsed="false">
      <c r="A26" s="53" t="str">
        <f aca="false">IF('Budget Setup'!A15="","",'Budget Setup'!A15)</f>
        <v>Housing</v>
      </c>
      <c r="B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4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4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4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53" t="str">
        <f aca="false">IF('Budget Setup'!A16="","",'Budget Setup'!A16)</f>
        <v>Groceries</v>
      </c>
      <c r="B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4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4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4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53" t="str">
        <f aca="false">IF('Budget Setup'!A17="","",'Budget Setup'!A17)</f>
        <v>Dining out</v>
      </c>
      <c r="B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4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4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53" t="str">
        <f aca="false">IF('Budget Setup'!A18="","",'Budget Setup'!A18)</f>
        <v>Transport</v>
      </c>
      <c r="B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4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4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53" t="str">
        <f aca="false">IF('Budget Setup'!A19="","",'Budget Setup'!A19)</f>
        <v>Utilities</v>
      </c>
      <c r="B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4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53" t="str">
        <f aca="false">IF('Budget Setup'!A20="","",'Budget Setup'!A20)</f>
        <v>Phone &amp; internet</v>
      </c>
      <c r="B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4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53" t="str">
        <f aca="false">IF('Budget Setup'!A21="","",'Budget Setup'!A21)</f>
        <v>Insurance</v>
      </c>
      <c r="B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4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53" t="str">
        <f aca="false">IF('Budget Setup'!A22="","",'Budget Setup'!A22)</f>
        <v>Health &amp; fitness</v>
      </c>
      <c r="B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4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53" t="str">
        <f aca="false">IF('Budget Setup'!A23="","",'Budget Setup'!A23)</f>
        <v>Entertainment</v>
      </c>
      <c r="B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4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4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53" t="str">
        <f aca="false">IF('Budget Setup'!A24="","",'Budget Setup'!A24)</f>
        <v>Subscriptions</v>
      </c>
      <c r="B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4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53" t="str">
        <f aca="false">IF('Budget Setup'!A25="","",'Budget Setup'!A25)</f>
        <v>Shopping</v>
      </c>
      <c r="B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4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53" t="str">
        <f aca="false">IF('Budget Setup'!A26="","",'Budget Setup'!A26)</f>
        <v>Personal care</v>
      </c>
      <c r="B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4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53" t="str">
        <f aca="false">IF('Budget Setup'!A27="","",'Budget Setup'!A27)</f>
        <v>Savings &amp; investing</v>
      </c>
      <c r="B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4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53" t="str">
        <f aca="false">IF('Budget Setup'!A28="","",'Budget Setup'!A28)</f>
        <v>Debt payments</v>
      </c>
      <c r="B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4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53" t="str">
        <f aca="false">IF('Budget Setup'!A29="","",'Budget Setup'!A29)</f>
        <v>Everything else</v>
      </c>
      <c r="B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4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53" t="str">
        <f aca="false">IF('Budget Setup'!A30="","",'Budget Setup'!A30)</f>
        <v/>
      </c>
      <c r="B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4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53" t="str">
        <f aca="false">IF('Budget Setup'!A31="","",'Budget Setup'!A31)</f>
        <v/>
      </c>
      <c r="B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4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53" t="str">
        <f aca="false">IF('Budget Setup'!A32="","",'Budget Setup'!A32)</f>
        <v/>
      </c>
      <c r="B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4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53" t="str">
        <f aca="false">IF('Budget Setup'!A33="","",'Budget Setup'!A33)</f>
        <v/>
      </c>
      <c r="B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4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53" t="str">
        <f aca="false">IF('Budget Setup'!A34="","",'Budget Setup'!A34)</f>
        <v/>
      </c>
      <c r="B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4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5B7A9D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134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135</v>
      </c>
      <c r="B4" s="2"/>
      <c r="C4" s="2"/>
      <c r="D4" s="2"/>
      <c r="E4" s="2"/>
      <c r="F4" s="2"/>
      <c r="G4" s="2"/>
      <c r="H4" s="2"/>
      <c r="I4" s="2"/>
    </row>
    <row r="5" customFormat="false" ht="21.75" hidden="false" customHeight="true" outlineLevel="0" collapsed="false">
      <c r="A5" s="12" t="s">
        <v>136</v>
      </c>
      <c r="B5" s="12" t="s">
        <v>137</v>
      </c>
      <c r="C5" s="12" t="s">
        <v>138</v>
      </c>
      <c r="D5" s="12" t="s">
        <v>139</v>
      </c>
      <c r="E5" s="12" t="s">
        <v>140</v>
      </c>
      <c r="F5" s="12" t="s">
        <v>141</v>
      </c>
      <c r="G5" s="12" t="s">
        <v>142</v>
      </c>
      <c r="H5" s="2"/>
      <c r="I5" s="2"/>
    </row>
    <row r="6" customFormat="false" ht="16.5" hidden="false" customHeight="false" outlineLevel="0" collapsed="false">
      <c r="A6" s="13" t="s">
        <v>143</v>
      </c>
      <c r="B6" s="14" t="n">
        <v>3000</v>
      </c>
      <c r="C6" s="14" t="n">
        <v>1150</v>
      </c>
      <c r="D6" s="55" t="n">
        <v>46387</v>
      </c>
      <c r="E6" s="56" t="n">
        <f aca="true">IF(OR($A6="",$D6=""),"",MAX(0,(YEAR($D6)-YEAR(TODAY()))*12+MONTH($D6)-MONTH(TODAY())))</f>
        <v>4</v>
      </c>
      <c r="F6" s="57" t="n">
        <f aca="false">IF(OR($A6="",$B6="",$D6=""),"",IF($E6=0,MAX(0,$B6-$C6),ROUND(MAX(0,$B6-$C6)/$E6,2)))</f>
        <v>462.5</v>
      </c>
      <c r="G6" s="48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144</v>
      </c>
      <c r="B7" s="14" t="n">
        <v>2400</v>
      </c>
      <c r="C7" s="14" t="n">
        <v>600</v>
      </c>
      <c r="D7" s="55" t="n">
        <v>46568</v>
      </c>
      <c r="E7" s="56" t="n">
        <f aca="true">IF(OR($A7="",$D7=""),"",MAX(0,(YEAR($D7)-YEAR(TODAY()))*12+MONTH($D7)-MONTH(TODAY())))</f>
        <v>10</v>
      </c>
      <c r="F7" s="57" t="n">
        <f aca="false">IF(OR($A7="",$B7="",$D7=""),"",IF($E7=0,MAX(0,$B7-$C7),ROUND(MAX(0,$B7-$C7)/$E7,2)))</f>
        <v>180</v>
      </c>
      <c r="G7" s="48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5"/>
      <c r="E8" s="56" t="str">
        <f aca="true">IF(OR($A8="",$D8=""),"",MAX(0,(YEAR($D8)-YEAR(TODAY()))*12+MONTH($D8)-MONTH(TODAY())))</f>
        <v/>
      </c>
      <c r="F8" s="57" t="str">
        <f aca="false">IF(OR($A8="",$B8="",$D8=""),"",IF($E8=0,MAX(0,$B8-$C8),ROUND(MAX(0,$B8-$C8)/$E8,2)))</f>
        <v/>
      </c>
      <c r="G8" s="48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5"/>
      <c r="E9" s="56" t="str">
        <f aca="true">IF(OR($A9="",$D9=""),"",MAX(0,(YEAR($D9)-YEAR(TODAY()))*12+MONTH($D9)-MONTH(TODAY())))</f>
        <v/>
      </c>
      <c r="F9" s="57" t="str">
        <f aca="false">IF(OR($A9="",$B9="",$D9=""),"",IF($E9=0,MAX(0,$B9-$C9),ROUND(MAX(0,$B9-$C9)/$E9,2)))</f>
        <v/>
      </c>
      <c r="G9" s="48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5"/>
      <c r="E10" s="56" t="str">
        <f aca="true">IF(OR($A10="",$D10=""),"",MAX(0,(YEAR($D10)-YEAR(TODAY()))*12+MONTH($D10)-MONTH(TODAY())))</f>
        <v/>
      </c>
      <c r="F10" s="57" t="str">
        <f aca="false">IF(OR($A10="",$B10="",$D10=""),"",IF($E10=0,MAX(0,$B10-$C10),ROUND(MAX(0,$B10-$C10)/$E10,2)))</f>
        <v/>
      </c>
      <c r="G10" s="48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5"/>
      <c r="E11" s="56" t="str">
        <f aca="true">IF(OR($A11="",$D11=""),"",MAX(0,(YEAR($D11)-YEAR(TODAY()))*12+MONTH($D11)-MONTH(TODAY())))</f>
        <v/>
      </c>
      <c r="F11" s="57" t="str">
        <f aca="false">IF(OR($A11="",$B11="",$D11=""),"",IF($E11=0,MAX(0,$B11-$C11),ROUND(MAX(0,$B11-$C11)/$E11,2)))</f>
        <v/>
      </c>
      <c r="G11" s="48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5"/>
      <c r="E12" s="56" t="str">
        <f aca="true">IF(OR($A12="",$D12=""),"",MAX(0,(YEAR($D12)-YEAR(TODAY()))*12+MONTH($D12)-MONTH(TODAY())))</f>
        <v/>
      </c>
      <c r="F12" s="57" t="str">
        <f aca="false">IF(OR($A12="",$B12="",$D12=""),"",IF($E12=0,MAX(0,$B12-$C12),ROUND(MAX(0,$B12-$C12)/$E12,2)))</f>
        <v/>
      </c>
      <c r="G12" s="48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5"/>
      <c r="E13" s="56" t="str">
        <f aca="true">IF(OR($A13="",$D13=""),"",MAX(0,(YEAR($D13)-YEAR(TODAY()))*12+MONTH($D13)-MONTH(TODAY())))</f>
        <v/>
      </c>
      <c r="F13" s="57" t="str">
        <f aca="false">IF(OR($A13="",$B13="",$D13=""),"",IF($E13=0,MAX(0,$B13-$C13),ROUND(MAX(0,$B13-$C13)/$E13,2)))</f>
        <v/>
      </c>
      <c r="G13" s="48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5"/>
      <c r="E14" s="56" t="str">
        <f aca="true">IF(OR($A14="",$D14=""),"",MAX(0,(YEAR($D14)-YEAR(TODAY()))*12+MONTH($D14)-MONTH(TODAY())))</f>
        <v/>
      </c>
      <c r="F14" s="57" t="str">
        <f aca="false">IF(OR($A14="",$B14="",$D14=""),"",IF($E14=0,MAX(0,$B14-$C14),ROUND(MAX(0,$B14-$C14)/$E14,2)))</f>
        <v/>
      </c>
      <c r="G14" s="48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5"/>
      <c r="E15" s="56" t="str">
        <f aca="true">IF(OR($A15="",$D15=""),"",MAX(0,(YEAR($D15)-YEAR(TODAY()))*12+MONTH($D15)-MONTH(TODAY())))</f>
        <v/>
      </c>
      <c r="F15" s="57" t="str">
        <f aca="false">IF(OR($A15="",$B15="",$D15=""),"",IF($E15=0,MAX(0,$B15-$C15),ROUND(MAX(0,$B15-$C15)/$E15,2)))</f>
        <v/>
      </c>
      <c r="G15" s="48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145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5B7A9D"/>
      </dataBar>
      <extLst>
        <ext xmlns:x14="http://schemas.microsoft.com/office/spreadsheetml/2009/9/main" uri="{B025F937-C7B1-47D3-B67F-A62EFF666E3E}">
          <x14:id>{4C20984C-CA9B-411C-B7A4-AC6299877D77}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20984C-CA9B-411C-B7A4-AC6299877D7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7A9D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2026-08-12T06:29:05Z</dcterms:created>
  <dc:creator>openpyxl</dc:creator>
  <dc:description/>
  <dc:language>en-US</dc:language>
  <cp:lastModifiedBy/>
  <dcterms:modified xsi:type="dcterms:W3CDTF">2026-08-12T06:29:17Z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