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udget Setup" sheetId="2" state="visible" r:id="rId4"/>
    <sheet name="Bills" sheetId="3" state="visible" r:id="rId5"/>
    <sheet name="Debt Payoff" sheetId="4" state="visible" r:id="rId6"/>
    <sheet name="Transactions" sheetId="5" state="visible" r:id="rId7"/>
    <sheet name="Dashboard" sheetId="6" state="visible" r:id="rId8"/>
    <sheet name="Year Overview" sheetId="7" state="visible" r:id="rId9"/>
    <sheet name="Savings Goals" sheetId="8" state="visible" r:id="rId10"/>
  </sheets>
  <definedNames>
    <definedName function="false" hidden="false" localSheetId="2" name="_xlnm.Print_Area" vbProcedure="false">Bills!$A$1:$E$28</definedName>
    <definedName function="false" hidden="false" localSheetId="1" name="_xlnm.Print_Area" vbProcedure="false">'Budget Setup'!$A$1:$E$37</definedName>
    <definedName function="false" hidden="false" localSheetId="5" name="_xlnm.Print_Area" vbProcedure="false">Dashboard!$A$1:$O$33</definedName>
    <definedName function="false" hidden="false" localSheetId="3" name="_xlnm.Print_Area" vbProcedure="false">'Debt Payoff'!$A$1:$G$29</definedName>
    <definedName function="false" hidden="false" localSheetId="7" name="_xlnm.Print_Area" vbProcedure="false">'Savings Goals'!$A$1:$G$20</definedName>
    <definedName function="false" hidden="false" localSheetId="0" name="_xlnm.Print_Area" vbProcedure="false">'Start Here'!$A$1:$H$36</definedName>
    <definedName function="false" hidden="false" localSheetId="4" name="_xlnm.Print_Area" vbProcedure="false">Transactions!$A$1:$D$40</definedName>
    <definedName function="false" hidden="false" localSheetId="6" name="_xlnm.Print_Area" vbProcedure="false">'Year Overview'!$A$1:$N$46</definedName>
    <definedName function="false" hidden="false" name="CategoryList" vbProcedure="false">'Budget Setup'!$A$15:$A$34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<sst xmlns="http://schemas.openxmlformats.org/spreadsheetml/2006/main" count="177" uniqueCount="145">
  <si>
    <t xml:space="preserve">Personal Budget Dashboard</t>
  </si>
  <si>
    <t xml:space="preserve">Monthly budget, annual overview, savings goals, and bills — one file.</t>
  </si>
  <si>
    <t xml:space="preserve">Welcome!</t>
  </si>
  <si>
    <t xml:space="preserve">Set your budgets once, log your spending as you go, and this file does the rest: budget vs. actual for any month, a year-at-a-glance heatmap, savings goal math, and a bill list so nothing sneaks up on you.</t>
  </si>
  <si>
    <t xml:space="preserve">1.  Set up your budget</t>
  </si>
  <si>
    <t xml:space="preserve">On Budget Setup, enter monthly income and a budget per category. Rename categories to fit your life.</t>
  </si>
  <si>
    <t xml:space="preserve">2.  List your bills</t>
  </si>
  <si>
    <t xml:space="preserve">On Bills: what, how much, which day it's due, autopay or not. Know your fixed costs at a glance.</t>
  </si>
  <si>
    <t xml:space="preserve">3.  Face your debts</t>
  </si>
  <si>
    <t xml:space="preserve">On Debt Payoff: balance, APR, payment — see when each debt is gone, and what an extra payment changes.</t>
  </si>
  <si>
    <t xml:space="preserve">4.  Log your spending</t>
  </si>
  <si>
    <t xml:space="preserve">On Transactions, one row per purchase: date, what it was, category (dropdown), amount. Ten seconds.</t>
  </si>
  <si>
    <t xml:space="preserve">5.  Check the Dashboard</t>
  </si>
  <si>
    <t xml:space="preserve">Pick a month — budget vs. actual per category with progress bars, orange at 80%, red when over.</t>
  </si>
  <si>
    <t xml:space="preserve">6.  Zoom out on Year Overview</t>
  </si>
  <si>
    <t xml:space="preserve">Twelve months of spending, a trend chart, and a category-by-month heatmap that shows patterns.</t>
  </si>
  <si>
    <t xml:space="preserve">7.  Fund your Savings Goals</t>
  </si>
  <si>
    <t xml:space="preserve">Set a target and a date; the sheet tells you how much per month gets you there.</t>
  </si>
  <si>
    <t xml:space="preserve">Color guide</t>
  </si>
  <si>
    <t xml:space="preserve">Light yellow cells = yours to fill in or change</t>
  </si>
  <si>
    <t xml:space="preserve">Grey / white cells = calculated automatically — no need to touch them</t>
  </si>
  <si>
    <t xml:space="preserve">Note: the file includes example data so you can see how everything works — delete it and add your own.</t>
  </si>
  <si>
    <t xml:space="preserve">Works in Microsoft Excel (2016 or newer) and Google Sheets (upload to Drive, then Open with Google Sheets).</t>
  </si>
  <si>
    <t xml:space="preserve">Formulas are protected so you can't break anything by accident — every cell meant for typing is unlocked. To change anything else: Review → Unprotect Sheet (no password).</t>
  </si>
  <si>
    <t xml:space="preserve">Budget Setup</t>
  </si>
  <si>
    <t xml:space="preserve">Your income and monthly budgets. Yellow cells are yours to edit.</t>
  </si>
  <si>
    <t xml:space="preserve">MONTHLY INCOME</t>
  </si>
  <si>
    <t xml:space="preserve">Source</t>
  </si>
  <si>
    <t xml:space="preserve">Monthly amount</t>
  </si>
  <si>
    <t xml:space="preserve">Paycheck (after tax)</t>
  </si>
  <si>
    <t xml:space="preserve">Side hustle</t>
  </si>
  <si>
    <t xml:space="preserve">MONTHLY BUDGETS</t>
  </si>
  <si>
    <t xml:space="preserve">Rename, add, or remove categories — dropdowns and every view follow this list.</t>
  </si>
  <si>
    <t xml:space="preserve">Category</t>
  </si>
  <si>
    <t xml:space="preserve">Monthly budget</t>
  </si>
  <si>
    <t xml:space="preserve">Housing</t>
  </si>
  <si>
    <t xml:space="preserve">Groceries</t>
  </si>
  <si>
    <t xml:space="preserve">Dining out</t>
  </si>
  <si>
    <t xml:space="preserve">Transport</t>
  </si>
  <si>
    <t xml:space="preserve">Utilities</t>
  </si>
  <si>
    <t xml:space="preserve">Phone &amp; internet</t>
  </si>
  <si>
    <t xml:space="preserve">Insurance</t>
  </si>
  <si>
    <t xml:space="preserve">Health &amp; fitness</t>
  </si>
  <si>
    <t xml:space="preserve">Entertainment</t>
  </si>
  <si>
    <t xml:space="preserve">Subscriptions</t>
  </si>
  <si>
    <t xml:space="preserve">Shopping</t>
  </si>
  <si>
    <t xml:space="preserve">Personal care</t>
  </si>
  <si>
    <t xml:space="preserve">Savings &amp; investing</t>
  </si>
  <si>
    <t xml:space="preserve">Debt payments</t>
  </si>
  <si>
    <t xml:space="preserve">Everything else</t>
  </si>
  <si>
    <t xml:space="preserve">Total budgeted</t>
  </si>
  <si>
    <t xml:space="preserve">Bills</t>
  </si>
  <si>
    <t xml:space="preserve">Your recurring bills, sorted by due day — so nothing sneaks up on you.</t>
  </si>
  <si>
    <t xml:space="preserve">Every cell in this table is yours to type in. Tip: enter bills in due-day order.</t>
  </si>
  <si>
    <t xml:space="preserve">Bill</t>
  </si>
  <si>
    <t xml:space="preserve">Amount</t>
  </si>
  <si>
    <t xml:space="preserve">Due day</t>
  </si>
  <si>
    <t xml:space="preserve">Autopay?</t>
  </si>
  <si>
    <t xml:space="preserve">Notes</t>
  </si>
  <si>
    <t xml:space="preserve">Rent</t>
  </si>
  <si>
    <t xml:space="preserve">No</t>
  </si>
  <si>
    <t xml:space="preserve">Counts toward the Housing budget</t>
  </si>
  <si>
    <t xml:space="preserve">Internet</t>
  </si>
  <si>
    <t xml:space="preserve">Yes</t>
  </si>
  <si>
    <t xml:space="preserve">Phone</t>
  </si>
  <si>
    <t xml:space="preserve">Car insurance</t>
  </si>
  <si>
    <t xml:space="preserve">Total monthly bills</t>
  </si>
  <si>
    <t xml:space="preserve">Make sure each bill is inside one of your category budgets.</t>
  </si>
  <si>
    <t xml:space="preserve">Debt Payoff</t>
  </si>
  <si>
    <t xml:space="preserve">See when each debt is gone — and what one extra payment per month changes.</t>
  </si>
  <si>
    <t xml:space="preserve">Fill in the yellow columns. Months, payoff date, and interest calculate themselves.</t>
  </si>
  <si>
    <t xml:space="preserve">Debt</t>
  </si>
  <si>
    <t xml:space="preserve">Balance</t>
  </si>
  <si>
    <t xml:space="preserve">APR</t>
  </si>
  <si>
    <t xml:space="preserve">Monthly payment</t>
  </si>
  <si>
    <t xml:space="preserve">Months to payoff</t>
  </si>
  <si>
    <t xml:space="preserve">Debt-free by</t>
  </si>
  <si>
    <t xml:space="preserve">Interest you'll pay</t>
  </si>
  <si>
    <t xml:space="preserve">Credit card</t>
  </si>
  <si>
    <t xml:space="preserve">Interest-free financing</t>
  </si>
  <si>
    <t xml:space="preserve">Total</t>
  </si>
  <si>
    <t xml:space="preserve">The extra-payment effect</t>
  </si>
  <si>
    <t xml:space="preserve">Extra per month</t>
  </si>
  <si>
    <t xml:space="preserve">Applied to (highest APR)</t>
  </si>
  <si>
    <t xml:space="preserve">Paid off in</t>
  </si>
  <si>
    <t xml:space="preserve">Interest saved ≈</t>
  </si>
  <si>
    <t xml:space="preserve">internals →</t>
  </si>
  <si>
    <t xml:space="preserve">Avalanche method: extra money goes to the highest-APR debt first — it saves the most interest.</t>
  </si>
  <si>
    <t xml:space="preserve">Estimates assume monthly compounding at a fixed APR; card interest actually compounds daily, so treat dates as close, not exact.</t>
  </si>
  <si>
    <t xml:space="preserve">Transactions</t>
  </si>
  <si>
    <t xml:space="preserve">One row per purchase. Every view in this file reads this table.</t>
  </si>
  <si>
    <t xml:space="preserve">Every cell in this table is yours to type in. Pick the Category from the dropdown.</t>
  </si>
  <si>
    <t xml:space="preserve">Date</t>
  </si>
  <si>
    <t xml:space="preserve">Description</t>
  </si>
  <si>
    <t xml:space="preserve">Groceries week 1</t>
  </si>
  <si>
    <t xml:space="preserve">Concert tickets</t>
  </si>
  <si>
    <t xml:space="preserve">Groceries week 3</t>
  </si>
  <si>
    <t xml:space="preserve">Trader Joe's run</t>
  </si>
  <si>
    <t xml:space="preserve">Gas fill-up</t>
  </si>
  <si>
    <t xml:space="preserve">Dinner with friends</t>
  </si>
  <si>
    <t xml:space="preserve">Dashboard</t>
  </si>
  <si>
    <t xml:space="preserve">Pick a month — everything below updates automatically.</t>
  </si>
  <si>
    <t xml:space="preserve">Month (1–12)</t>
  </si>
  <si>
    <t xml:space="preserve">Year</t>
  </si>
  <si>
    <t xml:space="preserve">BUDGETED</t>
  </si>
  <si>
    <t xml:space="preserve">SPENT THIS MONTH</t>
  </si>
  <si>
    <t xml:space="preserve">LEFT TO SPEND</t>
  </si>
  <si>
    <t xml:space="preserve">Budget vs. actual</t>
  </si>
  <si>
    <t xml:space="preserve">Budget</t>
  </si>
  <si>
    <t xml:space="preserve">Spent</t>
  </si>
  <si>
    <t xml:space="preserve">Left</t>
  </si>
  <si>
    <t xml:space="preserve">% used</t>
  </si>
  <si>
    <t xml:space="preserve">Year Overview</t>
  </si>
  <si>
    <t xml:space="preserve">Twelve months at a glance — totals, trend, and a category heatmap.</t>
  </si>
  <si>
    <t xml:space="preserve">Spending by month</t>
  </si>
  <si>
    <t xml:space="preserve">Month</t>
  </si>
  <si>
    <t xml:space="preserve">% of budget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</si>
  <si>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</si>
  <si>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</si>
  <si>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</si>
  <si>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</si>
  <si>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</si>
  <si>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</si>
  <si>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</si>
  <si>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</si>
  <si>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</si>
  <si>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</si>
  <si>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</si>
  <si>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</si>
  <si>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</si>
  <si>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Category × month heatmap</t>
  </si>
  <si>
    <t xml:space="preserve">Darker = more spent. Spot the patterns.</t>
  </si>
  <si>
    <t xml:space="preserve">Savings Goals</t>
  </si>
  <si>
    <t xml:space="preserve">Set a target and a date — see exactly what to put away each month.</t>
  </si>
  <si>
    <t xml:space="preserve">Fill in the yellow columns. Months left, monthly needed, and progress calculate themselves.</t>
  </si>
  <si>
    <t xml:space="preserve">Goal</t>
  </si>
  <si>
    <t xml:space="preserve">Target</t>
  </si>
  <si>
    <t xml:space="preserve">Saved so far</t>
  </si>
  <si>
    <t xml:space="preserve">Target date</t>
  </si>
  <si>
    <t xml:space="preserve">Months left</t>
  </si>
  <si>
    <t xml:space="preserve">Monthly needed</t>
  </si>
  <si>
    <t xml:space="preserve">Progress</t>
  </si>
  <si>
    <t xml:space="preserve">Emergency fund</t>
  </si>
  <si>
    <t xml:space="preserve">Japan trip</t>
  </si>
  <si>
    <t xml:space="preserve">Tip: pair this with the “Savings &amp; investing” budget category so goal money is planned, not leftover.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</si>
</sst>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\$#,##0.00"/>
    <numFmt numFmtId="167" formatCode="0.0%"/>
    <numFmt numFmtId="168" formatCode="General"/>
    <numFmt numFmtId="169" formatCode="mmm\ yyyy"/>
    <numFmt numFmtId="170" formatCode="mm/dd/yyyy"/>
    <numFmt numFmtId="171" formatCode="\$#,##0;&quot;($&quot;#,##0\);\-"/>
    <numFmt numFmtId="172" formatCode="#,##0;\(#,##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E5E7EB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1"/>
      <color rgb="FF14634C"/>
      <name val="Calibri"/>
      <family val="0"/>
      <charset val="1"/>
    </font>
    <font>
      <sz val="10"/>
      <color rgb="FF14634C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11"/>
      <color rgb="FF2F9E6E"/>
      <name val="Calibri"/>
      <family val="0"/>
      <charset val="1"/>
    </font>
    <font>
      <b val="true"/>
      <sz val="16"/>
      <color rgb="FF1F2937"/>
      <name val="Calibri"/>
      <family val="0"/>
      <charset val="1"/>
    </font>
    <font>
      <b val="true"/>
      <sz val="16"/>
      <color rgb="FF2F9E6E"/>
      <name val="Calibri"/>
      <family val="0"/>
      <charset val="1"/>
    </font>
    <font>
      <b val="true"/>
      <sz val="16"/>
      <color rgb="FF14634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1F2937"/>
      <name val="Calibri"/>
      <family val="0"/>
      <charset val="1"/>
    </font>
    <font>
      <sz val="8"/>
      <color rgb="FF1F2937"/>
      <name val="Calibri"/>
      <family val="0"/>
      <charset val="1"/>
    </font>
    <font>
      <b val="true"/>
      <sz val="10"/>
      <color rgb="FF14634C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634C"/>
        <bgColor rgb="FF008080"/>
      </patternFill>
    </fill>
    <fill>
      <patternFill patternType="solid">
        <fgColor rgb="FFF5F9F6"/>
        <bgColor rgb="FFF4F6FA"/>
      </patternFill>
    </fill>
    <fill>
      <patternFill patternType="solid">
        <fgColor rgb="FFFFF6DE"/>
        <bgColor rgb="FFF5F9F6"/>
      </patternFill>
    </fill>
    <fill>
      <patternFill patternType="solid">
        <fgColor rgb="FFF4F6FA"/>
        <bgColor rgb="FFF5F9F6"/>
      </patternFill>
    </fill>
    <fill>
      <patternFill patternType="solid">
        <fgColor rgb="FFFFFFFF"/>
        <bgColor rgb="FFF9FAFC"/>
      </patternFill>
    </fill>
    <fill>
      <patternFill patternType="solid">
        <fgColor rgb="FFF9FAFC"/>
        <bgColor rgb="FFF5F9F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 diagonalUp="false" diagonalDown="false">
      <left/>
      <right/>
      <top style="medium">
        <color rgb="FF1F2937"/>
      </top>
      <bottom/>
      <diagonal/>
    </border>
    <border diagonalUp="false" diagonalDown="false">
      <left style="thin">
        <color rgb="FFE3E8F0"/>
      </left>
      <right style="thin">
        <color rgb="FFE3E8F0"/>
      </right>
      <top style="thin">
        <color rgb="FFE3E8F0"/>
      </top>
      <bottom style="thin">
        <color rgb="FFE3E8F0"/>
      </bottom>
      <diagonal/>
    </border>
    <border diagonalUp="false" diagonalDown="false">
      <left style="thin">
        <color rgb="FFEDF0F4"/>
      </left>
      <right style="thin">
        <color rgb="FFEDF0F4"/>
      </right>
      <top style="thin">
        <color rgb="FFEDF0F4"/>
      </top>
      <bottom style="thin">
        <color rgb="FFEDF0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1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B3352C"/>
        <sz val="10"/>
      </font>
    </dxf>
    <dxf>
      <font>
        <name val="Calibri"/>
        <charset val="1"/>
        <family val="0"/>
        <b val="1"/>
        <color rgb="FFB26205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205"/>
      <rgbColor rgb="FF800080"/>
      <rgbColor rgb="FF14634C"/>
      <rgbColor rgb="FFF4F6FA"/>
      <rgbColor rgb="FF878787"/>
      <rgbColor rgb="FF9999FF"/>
      <rgbColor rgb="FF993366"/>
      <rgbColor rgb="FFFFF6DE"/>
      <rgbColor rgb="FFEDF0F4"/>
      <rgbColor rgb="FF660066"/>
      <rgbColor rgb="FFFF8080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F0"/>
      <rgbColor rgb="FFE4E9E6"/>
      <rgbColor rgb="FFF5F9F6"/>
      <rgbColor rgb="FFF9FAFC"/>
      <rgbColor rgb="FFFF99CC"/>
      <rgbColor rgb="FFCC99FF"/>
      <rgbColor rgb="FFE5E7EB"/>
      <rgbColor rgb="FF3366FF"/>
      <rgbColor rgb="FF33CCCC"/>
      <rgbColor rgb="FF99CC00"/>
      <rgbColor rgb="FFFFCC00"/>
      <rgbColor rgb="FFFF9900"/>
      <rgbColor rgb="FFFF6600"/>
      <rgbColor rgb="FF6B7280"/>
      <rgbColor rgb="FF93A3B8"/>
      <rgbColor rgb="FF003366"/>
      <rgbColor rgb="FF2F9E6E"/>
      <rgbColor rgb="FF003300"/>
      <rgbColor rgb="FF333300"/>
      <rgbColor rgb="FFB3352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spent — selected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3a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Dashboard!$A$12:$A$26</c:f>
              <c:strCache>
                <c:ptCount val="15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</c:v>
                </c:pt>
                <c:pt idx="4">
                  <c:v>Utilities</c:v>
                </c:pt>
                <c:pt idx="5">
                  <c:v>Phone &amp; internet</c:v>
                </c:pt>
                <c:pt idx="6">
                  <c:v>Insurance</c:v>
                </c:pt>
                <c:pt idx="7">
                  <c:v>Health &amp; fitness</c:v>
                </c:pt>
                <c:pt idx="8">
                  <c:v>Entertainment</c:v>
                </c:pt>
                <c:pt idx="9">
                  <c:v>Subscriptions</c:v>
                </c:pt>
                <c:pt idx="10">
                  <c:v>Shopping</c:v>
                </c:pt>
                <c:pt idx="11">
                  <c:v>Personal care</c:v>
                </c:pt>
                <c:pt idx="12">
                  <c:v>Savings &amp; investing</c:v>
                </c:pt>
                <c:pt idx="13">
                  <c:v>Debt payments</c:v>
                </c:pt>
                <c:pt idx="14">
                  <c:v>Everything else</c:v>
                </c:pt>
              </c:strCache>
            </c:strRef>
          </c:cat>
          <c:val>
            <c:numRef>
              <c:f>Dashboard!$B$12:$B$26</c:f>
              <c:numCache>
                <c:formatCode>\$#,##0;"($"#,##0\);\-</c:formatCode>
                <c:ptCount val="15"/>
                <c:pt idx="0">
                  <c:v>1600</c:v>
                </c:pt>
                <c:pt idx="1">
                  <c:v>550</c:v>
                </c:pt>
                <c:pt idx="2">
                  <c:v>250</c:v>
                </c:pt>
                <c:pt idx="3">
                  <c:v>200</c:v>
                </c:pt>
                <c:pt idx="4">
                  <c:v>180</c:v>
                </c:pt>
                <c:pt idx="5">
                  <c:v>95</c:v>
                </c:pt>
                <c:pt idx="6">
                  <c:v>140</c:v>
                </c:pt>
                <c:pt idx="7">
                  <c:v>90</c:v>
                </c:pt>
                <c:pt idx="8">
                  <c:v>120</c:v>
                </c:pt>
                <c:pt idx="9">
                  <c:v>60</c:v>
                </c:pt>
                <c:pt idx="10">
                  <c:v>150</c:v>
                </c:pt>
                <c:pt idx="11">
                  <c:v>70</c:v>
                </c:pt>
                <c:pt idx="12">
                  <c:v>500</c:v>
                </c:pt>
                <c:pt idx="13">
                  <c:v>300</c:v>
                </c:pt>
                <c:pt idx="14">
                  <c:v>150</c:v>
                </c:pt>
              </c:numCache>
            </c:numRef>
          </c:val>
        </c:ser>
        <c:ser>
          <c:idx val="1"/>
          <c:order val="1"/>
          <c:tx>
            <c:strRef>
              <c:f>Dashboard!C11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2f9e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Dashboard!$A$12:$A$26</c:f>
              <c:strCache>
                <c:ptCount val="15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</c:v>
                </c:pt>
                <c:pt idx="4">
                  <c:v>Utilities</c:v>
                </c:pt>
                <c:pt idx="5">
                  <c:v>Phone &amp; internet</c:v>
                </c:pt>
                <c:pt idx="6">
                  <c:v>Insurance</c:v>
                </c:pt>
                <c:pt idx="7">
                  <c:v>Health &amp; fitness</c:v>
                </c:pt>
                <c:pt idx="8">
                  <c:v>Entertainment</c:v>
                </c:pt>
                <c:pt idx="9">
                  <c:v>Subscriptions</c:v>
                </c:pt>
                <c:pt idx="10">
                  <c:v>Shopping</c:v>
                </c:pt>
                <c:pt idx="11">
                  <c:v>Personal care</c:v>
                </c:pt>
                <c:pt idx="12">
                  <c:v>Savings &amp; investing</c:v>
                </c:pt>
                <c:pt idx="13">
                  <c:v>Debt payments</c:v>
                </c:pt>
                <c:pt idx="14">
                  <c:v>Everything else</c:v>
                </c:pt>
              </c:strCache>
            </c:strRef>
          </c:cat>
          <c:val>
            <c:numRef>
              <c:f>Dashboard!$C$12:$C$26</c:f>
              <c:numCache>
                <c:formatCode>\$#,##0;"($"#,##0\);\-</c:formatCode>
                <c:ptCount val="15"/>
                <c:pt idx="0">
                  <c:v>1600</c:v>
                </c:pt>
                <c:pt idx="1">
                  <c:v>84.2</c:v>
                </c:pt>
                <c:pt idx="2">
                  <c:v>56.8</c:v>
                </c:pt>
                <c:pt idx="3">
                  <c:v>42.5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26204670"/>
        <c:axId val="57299013"/>
      </c:barChart>
      <c:catAx>
        <c:axId val="26204670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99013"/>
        <c:crosses val="autoZero"/>
        <c:auto val="1"/>
        <c:lblAlgn val="ctr"/>
        <c:lblOffset val="100"/>
        <c:noMultiLvlLbl val="0"/>
      </c:catAx>
      <c:valAx>
        <c:axId val="57299013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046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spending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 Overview'!B7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2f9e6e"/>
            </a:solidFill>
            <a:ln w="28080">
              <a:solidFill>
                <a:srgbClr val="2f9e6e"/>
              </a:solidFill>
              <a:round/>
            </a:ln>
          </c:spPr>
          <c:marker>
            <c:symbol val="circle"/>
            <c:size val="6"/>
            <c:spPr>
              <a:solidFill>
                <a:srgbClr val="2f9e6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Overview'!$A$8:$A$19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Overview'!$B$8:$B$19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1873.5</c:v>
                </c:pt>
                <c:pt idx="7">
                  <c:v>1783.5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970787"/>
        <c:axId val="73422122"/>
      </c:lineChart>
      <c:catAx>
        <c:axId val="44970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22122"/>
        <c:crosses val="autoZero"/>
        <c:auto val="1"/>
        <c:lblAlgn val="ctr"/>
        <c:lblOffset val="100"/>
        <c:noMultiLvlLbl val="0"/>
      </c:catAx>
      <c:valAx>
        <c:axId val="73422122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70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0</xdr:rowOff>
    </xdr:from>
    <xdr:to>
      <xdr:col>11</xdr:col>
      <xdr:colOff>285480</xdr:colOff>
      <xdr:row>31</xdr:row>
      <xdr:rowOff>60840</xdr:rowOff>
    </xdr:to>
    <xdr:graphicFrame>
      <xdr:nvGraphicFramePr>
        <xdr:cNvPr id="0" name="Chart 1"/>
        <xdr:cNvGraphicFramePr/>
      </xdr:nvGraphicFramePr>
      <xdr:xfrm>
        <a:off x="5356800" y="2333520"/>
        <a:ext cx="5219640" cy="44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12</xdr:col>
      <xdr:colOff>579960</xdr:colOff>
      <xdr:row>19</xdr:row>
      <xdr:rowOff>123840</xdr:rowOff>
    </xdr:to>
    <xdr:graphicFrame>
      <xdr:nvGraphicFramePr>
        <xdr:cNvPr id="1" name="Chart 1"/>
        <xdr:cNvGraphicFramePr/>
      </xdr:nvGraphicFramePr>
      <xdr:xfrm>
        <a:off x="3912120" y="1152360"/>
        <a:ext cx="593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4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true" outlineLevel="0" collapsed="false">
      <c r="A5" s="2"/>
      <c r="B5" s="5" t="s">
        <v>3</v>
      </c>
      <c r="C5" s="5"/>
      <c r="D5" s="5"/>
      <c r="E5" s="5"/>
      <c r="F5" s="5"/>
      <c r="G5" s="5"/>
      <c r="H5" s="5"/>
      <c r="I5" s="2"/>
      <c r="J5" s="2"/>
    </row>
    <row r="6" customFormat="false" ht="16.5" hidden="false" customHeight="false" outlineLevel="0" collapsed="false">
      <c r="A6" s="2"/>
      <c r="B6" s="5"/>
      <c r="C6" s="5"/>
      <c r="D6" s="5"/>
      <c r="E6" s="5"/>
      <c r="F6" s="5"/>
      <c r="G6" s="5"/>
      <c r="H6" s="5"/>
      <c r="I6" s="2"/>
      <c r="J6" s="2"/>
    </row>
    <row r="7" customFormat="false" ht="16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2"/>
      <c r="B8" s="6" t="s">
        <v>4</v>
      </c>
      <c r="C8" s="2"/>
      <c r="D8" s="2"/>
      <c r="E8" s="2"/>
      <c r="F8" s="2"/>
      <c r="G8" s="2"/>
      <c r="H8" s="2"/>
      <c r="I8" s="2"/>
      <c r="J8" s="2"/>
    </row>
    <row r="9" customFormat="false" ht="27.75" hidden="false" customHeight="true" outlineLevel="0" collapsed="false">
      <c r="A9" s="2"/>
      <c r="B9" s="2"/>
      <c r="C9" s="5" t="s">
        <v>5</v>
      </c>
      <c r="D9" s="5"/>
      <c r="E9" s="5"/>
      <c r="F9" s="5"/>
      <c r="G9" s="5"/>
      <c r="H9" s="5"/>
      <c r="I9" s="2"/>
      <c r="J9" s="2"/>
    </row>
    <row r="10" customFormat="false" ht="16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6" t="s">
        <v>6</v>
      </c>
      <c r="C11" s="2"/>
      <c r="D11" s="2"/>
      <c r="E11" s="2"/>
      <c r="F11" s="2"/>
      <c r="G11" s="2"/>
      <c r="H11" s="2"/>
      <c r="I11" s="2"/>
      <c r="J11" s="2"/>
    </row>
    <row r="12" customFormat="false" ht="27.75" hidden="false" customHeight="true" outlineLevel="0" collapsed="false">
      <c r="A12" s="2"/>
      <c r="B12" s="2"/>
      <c r="C12" s="5" t="s">
        <v>7</v>
      </c>
      <c r="D12" s="5"/>
      <c r="E12" s="5"/>
      <c r="F12" s="5"/>
      <c r="G12" s="5"/>
      <c r="H12" s="5"/>
      <c r="I12" s="2"/>
      <c r="J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6.5" hidden="false" customHeight="false" outlineLevel="0" collapsed="false">
      <c r="A14" s="2"/>
      <c r="B14" s="6" t="s">
        <v>8</v>
      </c>
      <c r="C14" s="2"/>
      <c r="D14" s="2"/>
      <c r="E14" s="2"/>
      <c r="F14" s="2"/>
      <c r="G14" s="2"/>
      <c r="H14" s="2"/>
      <c r="I14" s="2"/>
      <c r="J14" s="2"/>
    </row>
    <row r="15" customFormat="false" ht="27.75" hidden="false" customHeight="true" outlineLevel="0" collapsed="false">
      <c r="A15" s="2"/>
      <c r="B15" s="2"/>
      <c r="C15" s="5" t="s">
        <v>9</v>
      </c>
      <c r="D15" s="5"/>
      <c r="E15" s="5"/>
      <c r="F15" s="5"/>
      <c r="G15" s="5"/>
      <c r="H15" s="5"/>
      <c r="I15" s="2"/>
      <c r="J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2"/>
      <c r="B17" s="6" t="s">
        <v>10</v>
      </c>
      <c r="C17" s="2"/>
      <c r="D17" s="2"/>
      <c r="E17" s="2"/>
      <c r="F17" s="2"/>
      <c r="G17" s="2"/>
      <c r="H17" s="2"/>
      <c r="I17" s="2"/>
      <c r="J17" s="2"/>
    </row>
    <row r="18" customFormat="false" ht="27.75" hidden="false" customHeight="true" outlineLevel="0" collapsed="false">
      <c r="A18" s="2"/>
      <c r="B18" s="2"/>
      <c r="C18" s="5" t="s">
        <v>11</v>
      </c>
      <c r="D18" s="5"/>
      <c r="E18" s="5"/>
      <c r="F18" s="5"/>
      <c r="G18" s="5"/>
      <c r="H18" s="5"/>
      <c r="I18" s="2"/>
      <c r="J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2"/>
      <c r="B20" s="6" t="s">
        <v>12</v>
      </c>
      <c r="C20" s="2"/>
      <c r="D20" s="2"/>
      <c r="E20" s="2"/>
      <c r="F20" s="2"/>
      <c r="G20" s="2"/>
      <c r="H20" s="2"/>
      <c r="I20" s="2"/>
      <c r="J20" s="2"/>
    </row>
    <row r="21" customFormat="false" ht="27.75" hidden="false" customHeight="true" outlineLevel="0" collapsed="false">
      <c r="A21" s="2"/>
      <c r="B21" s="2"/>
      <c r="C21" s="5" t="s">
        <v>13</v>
      </c>
      <c r="D21" s="5"/>
      <c r="E21" s="5"/>
      <c r="F21" s="5"/>
      <c r="G21" s="5"/>
      <c r="H21" s="5"/>
      <c r="I21" s="2"/>
      <c r="J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2"/>
      <c r="B23" s="6" t="s">
        <v>14</v>
      </c>
      <c r="C23" s="2"/>
      <c r="D23" s="2"/>
      <c r="E23" s="2"/>
      <c r="F23" s="2"/>
      <c r="G23" s="2"/>
      <c r="H23" s="2"/>
      <c r="I23" s="2"/>
      <c r="J23" s="2"/>
    </row>
    <row r="24" customFormat="false" ht="27.75" hidden="false" customHeight="true" outlineLevel="0" collapsed="false">
      <c r="A24" s="2"/>
      <c r="B24" s="2"/>
      <c r="C24" s="5" t="s">
        <v>15</v>
      </c>
      <c r="D24" s="5"/>
      <c r="E24" s="5"/>
      <c r="F24" s="5"/>
      <c r="G24" s="5"/>
      <c r="H24" s="5"/>
      <c r="I24" s="2"/>
      <c r="J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2"/>
      <c r="B26" s="6" t="s">
        <v>16</v>
      </c>
      <c r="C26" s="2"/>
      <c r="D26" s="2"/>
      <c r="E26" s="2"/>
      <c r="F26" s="2"/>
      <c r="G26" s="2"/>
      <c r="H26" s="2"/>
      <c r="I26" s="2"/>
      <c r="J26" s="2"/>
    </row>
    <row r="27" customFormat="false" ht="27.75" hidden="false" customHeight="true" outlineLevel="0" collapsed="false">
      <c r="A27" s="2"/>
      <c r="B27" s="2"/>
      <c r="C27" s="5" t="s">
        <v>17</v>
      </c>
      <c r="D27" s="5"/>
      <c r="E27" s="5"/>
      <c r="F27" s="5"/>
      <c r="G27" s="5"/>
      <c r="H27" s="5"/>
      <c r="I27" s="2"/>
      <c r="J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2"/>
      <c r="B29" s="6" t="s">
        <v>18</v>
      </c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2"/>
      <c r="B30" s="7"/>
      <c r="C30" s="8" t="s">
        <v>19</v>
      </c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2"/>
      <c r="B31" s="9"/>
      <c r="C31" s="8" t="s">
        <v>20</v>
      </c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2"/>
      <c r="B33" s="10" t="s">
        <v>21</v>
      </c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2"/>
      <c r="B34" s="10" t="s">
        <v>22</v>
      </c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10" t="s">
        <v>23</v>
      </c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sheetProtection sheet="true" formatCells="false" formatColumns="false" formatRows="false"/>
  <mergeCells count="10">
    <mergeCell ref="A1:H1"/>
    <mergeCell ref="A2:H2"/>
    <mergeCell ref="B5:H6"/>
    <mergeCell ref="C9:H9"/>
    <mergeCell ref="C12:H12"/>
    <mergeCell ref="C15:H15"/>
    <mergeCell ref="C18:H18"/>
    <mergeCell ref="C21:H21"/>
    <mergeCell ref="C24:H24"/>
    <mergeCell ref="C27:H27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40"/>
    <col collapsed="false" customWidth="true" hidden="false" outlineLevel="0" max="8" min="5" style="0" width="14"/>
  </cols>
  <sheetData>
    <row r="1" customFormat="false" ht="25.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25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false" outlineLevel="0" collapsed="false">
      <c r="A5" s="11" t="s">
        <v>26</v>
      </c>
      <c r="B5" s="2"/>
      <c r="C5" s="2"/>
      <c r="D5" s="2"/>
      <c r="E5" s="2"/>
      <c r="F5" s="2"/>
      <c r="G5" s="2"/>
      <c r="H5" s="2"/>
      <c r="I5" s="2"/>
      <c r="J5" s="2"/>
    </row>
    <row r="6" customFormat="false" ht="19.5" hidden="false" customHeight="true" outlineLevel="0" collapsed="false">
      <c r="A6" s="12" t="s">
        <v>27</v>
      </c>
      <c r="B6" s="12" t="s">
        <v>28</v>
      </c>
      <c r="C6" s="2"/>
      <c r="D6" s="2"/>
      <c r="E6" s="2"/>
      <c r="F6" s="2"/>
      <c r="G6" s="2"/>
      <c r="H6" s="2"/>
      <c r="I6" s="2"/>
      <c r="J6" s="2"/>
    </row>
    <row r="7" customFormat="false" ht="16.5" hidden="false" customHeight="false" outlineLevel="0" collapsed="false">
      <c r="A7" s="13" t="s">
        <v>29</v>
      </c>
      <c r="B7" s="14" t="n">
        <v>4200</v>
      </c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13" t="s">
        <v>30</v>
      </c>
      <c r="B8" s="14" t="n">
        <v>350</v>
      </c>
      <c r="C8" s="2"/>
      <c r="D8" s="2"/>
      <c r="E8" s="2"/>
      <c r="F8" s="2"/>
      <c r="G8" s="2"/>
      <c r="H8" s="2"/>
      <c r="I8" s="2"/>
      <c r="J8" s="2"/>
    </row>
    <row r="9" customFormat="false" ht="16.5" hidden="false" customHeight="false" outlineLevel="0" collapsed="false">
      <c r="A9" s="13"/>
      <c r="B9" s="14"/>
      <c r="C9" s="2"/>
      <c r="D9" s="2"/>
      <c r="E9" s="2"/>
      <c r="F9" s="2"/>
      <c r="G9" s="2"/>
      <c r="H9" s="2"/>
      <c r="I9" s="2"/>
      <c r="J9" s="2"/>
    </row>
    <row r="10" customFormat="false" ht="16.5" hidden="false" customHeight="false" outlineLevel="0" collapsed="false">
      <c r="A10" s="13"/>
      <c r="B10" s="14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6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6.5" hidden="false" customHeight="false" outlineLevel="0" collapsed="false">
      <c r="A13" s="11" t="s">
        <v>31</v>
      </c>
      <c r="B13" s="2"/>
      <c r="C13" s="2"/>
      <c r="D13" s="15" t="s">
        <v>32</v>
      </c>
      <c r="E13" s="2"/>
      <c r="F13" s="2"/>
      <c r="G13" s="2"/>
      <c r="H13" s="2"/>
      <c r="I13" s="2"/>
      <c r="J13" s="2"/>
    </row>
    <row r="14" customFormat="false" ht="19.5" hidden="false" customHeight="true" outlineLevel="0" collapsed="false">
      <c r="A14" s="12" t="s">
        <v>33</v>
      </c>
      <c r="B14" s="12" t="s">
        <v>34</v>
      </c>
      <c r="C14" s="2"/>
      <c r="D14" s="2"/>
      <c r="E14" s="2"/>
      <c r="F14" s="2"/>
      <c r="G14" s="2"/>
      <c r="H14" s="2"/>
      <c r="I14" s="2"/>
      <c r="J14" s="2"/>
    </row>
    <row r="15" customFormat="false" ht="16.5" hidden="false" customHeight="false" outlineLevel="0" collapsed="false">
      <c r="A15" s="13" t="s">
        <v>35</v>
      </c>
      <c r="B15" s="14" t="n">
        <v>1600</v>
      </c>
      <c r="C15" s="2"/>
      <c r="D15" s="2"/>
      <c r="E15" s="2"/>
      <c r="F15" s="2"/>
      <c r="G15" s="2"/>
      <c r="H15" s="2"/>
      <c r="I15" s="2"/>
      <c r="J15" s="2"/>
    </row>
    <row r="16" customFormat="false" ht="16.5" hidden="false" customHeight="false" outlineLevel="0" collapsed="false">
      <c r="A16" s="13" t="s">
        <v>36</v>
      </c>
      <c r="B16" s="14" t="n">
        <v>550</v>
      </c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13" t="s">
        <v>37</v>
      </c>
      <c r="B17" s="14" t="n">
        <v>250</v>
      </c>
      <c r="C17" s="2"/>
      <c r="D17" s="2"/>
      <c r="E17" s="2"/>
      <c r="F17" s="2"/>
      <c r="G17" s="2"/>
      <c r="H17" s="2"/>
      <c r="I17" s="2"/>
      <c r="J17" s="2"/>
    </row>
    <row r="18" customFormat="false" ht="16.5" hidden="false" customHeight="false" outlineLevel="0" collapsed="false">
      <c r="A18" s="13" t="s">
        <v>38</v>
      </c>
      <c r="B18" s="14" t="n">
        <v>200</v>
      </c>
      <c r="C18" s="2"/>
      <c r="D18" s="2"/>
      <c r="E18" s="2"/>
      <c r="F18" s="2"/>
      <c r="G18" s="2"/>
      <c r="H18" s="2"/>
      <c r="I18" s="2"/>
      <c r="J18" s="2"/>
    </row>
    <row r="19" customFormat="false" ht="16.5" hidden="false" customHeight="false" outlineLevel="0" collapsed="false">
      <c r="A19" s="13" t="s">
        <v>39</v>
      </c>
      <c r="B19" s="14" t="n">
        <v>180</v>
      </c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13" t="s">
        <v>40</v>
      </c>
      <c r="B20" s="14" t="n">
        <v>95</v>
      </c>
      <c r="C20" s="2"/>
      <c r="D20" s="2"/>
      <c r="E20" s="2"/>
      <c r="F20" s="2"/>
      <c r="G20" s="2"/>
      <c r="H20" s="2"/>
      <c r="I20" s="2"/>
      <c r="J20" s="2"/>
    </row>
    <row r="21" customFormat="false" ht="16.5" hidden="false" customHeight="false" outlineLevel="0" collapsed="false">
      <c r="A21" s="13" t="s">
        <v>41</v>
      </c>
      <c r="B21" s="14" t="n">
        <v>140</v>
      </c>
      <c r="C21" s="2"/>
      <c r="D21" s="2"/>
      <c r="E21" s="2"/>
      <c r="F21" s="2"/>
      <c r="G21" s="2"/>
      <c r="H21" s="2"/>
      <c r="I21" s="2"/>
      <c r="J21" s="2"/>
    </row>
    <row r="22" customFormat="false" ht="16.5" hidden="false" customHeight="false" outlineLevel="0" collapsed="false">
      <c r="A22" s="13" t="s">
        <v>42</v>
      </c>
      <c r="B22" s="14" t="n">
        <v>90</v>
      </c>
      <c r="C22" s="2"/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13" t="s">
        <v>43</v>
      </c>
      <c r="B23" s="14" t="n">
        <v>120</v>
      </c>
      <c r="C23" s="2"/>
      <c r="D23" s="2"/>
      <c r="E23" s="2"/>
      <c r="F23" s="2"/>
      <c r="G23" s="2"/>
      <c r="H23" s="2"/>
      <c r="I23" s="2"/>
      <c r="J23" s="2"/>
    </row>
    <row r="24" customFormat="false" ht="16.5" hidden="false" customHeight="false" outlineLevel="0" collapsed="false">
      <c r="A24" s="13" t="s">
        <v>44</v>
      </c>
      <c r="B24" s="14" t="n">
        <v>60</v>
      </c>
      <c r="C24" s="2"/>
      <c r="D24" s="2"/>
      <c r="E24" s="2"/>
      <c r="F24" s="2"/>
      <c r="G24" s="2"/>
      <c r="H24" s="2"/>
      <c r="I24" s="2"/>
      <c r="J24" s="2"/>
    </row>
    <row r="25" customFormat="false" ht="16.5" hidden="false" customHeight="false" outlineLevel="0" collapsed="false">
      <c r="A25" s="13" t="s">
        <v>45</v>
      </c>
      <c r="B25" s="14" t="n">
        <v>150</v>
      </c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13" t="s">
        <v>46</v>
      </c>
      <c r="B26" s="14" t="n">
        <v>70</v>
      </c>
      <c r="C26" s="2"/>
      <c r="D26" s="2"/>
      <c r="E26" s="2"/>
      <c r="F26" s="2"/>
      <c r="G26" s="2"/>
      <c r="H26" s="2"/>
      <c r="I26" s="2"/>
      <c r="J26" s="2"/>
    </row>
    <row r="27" customFormat="false" ht="16.5" hidden="false" customHeight="false" outlineLevel="0" collapsed="false">
      <c r="A27" s="13" t="s">
        <v>47</v>
      </c>
      <c r="B27" s="14" t="n">
        <v>500</v>
      </c>
      <c r="C27" s="2"/>
      <c r="D27" s="2"/>
      <c r="E27" s="2"/>
      <c r="F27" s="2"/>
      <c r="G27" s="2"/>
      <c r="H27" s="2"/>
      <c r="I27" s="2"/>
      <c r="J27" s="2"/>
    </row>
    <row r="28" customFormat="false" ht="16.5" hidden="false" customHeight="false" outlineLevel="0" collapsed="false">
      <c r="A28" s="13" t="s">
        <v>48</v>
      </c>
      <c r="B28" s="14" t="n">
        <v>300</v>
      </c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13" t="s">
        <v>49</v>
      </c>
      <c r="B29" s="14" t="n">
        <v>150</v>
      </c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13"/>
      <c r="B30" s="14"/>
      <c r="C30" s="2"/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13"/>
      <c r="B31" s="14"/>
      <c r="C31" s="2"/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13"/>
      <c r="B32" s="14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13"/>
      <c r="B33" s="14"/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13"/>
      <c r="B34" s="14"/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16" t="s">
        <v>50</v>
      </c>
      <c r="B36" s="17" t="n">
        <f aca="false">SUM(B15:B34)</f>
        <v>4455</v>
      </c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sheetProtection sheet="true" formatCells="false" formatColumns="false" formatRows="false"/>
  <mergeCells count="2">
    <mergeCell ref="A1:H1"/>
    <mergeCell ref="A2:H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  <c r="F1" s="2"/>
      <c r="G1" s="2"/>
      <c r="H1" s="2"/>
    </row>
    <row r="2" customFormat="false" ht="15.75" hidden="false" customHeight="true" outlineLevel="0" collapsed="false">
      <c r="A2" s="3" t="s">
        <v>52</v>
      </c>
      <c r="B2" s="3"/>
      <c r="C2" s="3"/>
      <c r="D2" s="3"/>
      <c r="E2" s="3"/>
      <c r="F2" s="2"/>
      <c r="G2" s="2"/>
      <c r="H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6.5" hidden="false" customHeight="false" outlineLevel="0" collapsed="false">
      <c r="A4" s="15" t="s">
        <v>53</v>
      </c>
      <c r="B4" s="2"/>
      <c r="C4" s="2"/>
      <c r="D4" s="2"/>
      <c r="E4" s="2"/>
      <c r="F4" s="2"/>
      <c r="G4" s="2"/>
      <c r="H4" s="2"/>
    </row>
    <row r="5" customFormat="false" ht="19.5" hidden="false" customHeight="true" outlineLevel="0" collapsed="false">
      <c r="A5" s="12" t="s">
        <v>54</v>
      </c>
      <c r="B5" s="12" t="s">
        <v>55</v>
      </c>
      <c r="C5" s="12" t="s">
        <v>56</v>
      </c>
      <c r="D5" s="12" t="s">
        <v>57</v>
      </c>
      <c r="E5" s="12" t="s">
        <v>58</v>
      </c>
      <c r="F5" s="2"/>
      <c r="G5" s="2"/>
      <c r="H5" s="2"/>
    </row>
    <row r="6" customFormat="false" ht="16.5" hidden="false" customHeight="false" outlineLevel="0" collapsed="false">
      <c r="A6" s="13" t="s">
        <v>59</v>
      </c>
      <c r="B6" s="18" t="n">
        <v>1600</v>
      </c>
      <c r="C6" s="19" t="n">
        <v>1</v>
      </c>
      <c r="D6" s="19" t="s">
        <v>60</v>
      </c>
      <c r="E6" s="13" t="s">
        <v>61</v>
      </c>
      <c r="F6" s="2"/>
      <c r="G6" s="2"/>
      <c r="H6" s="2"/>
    </row>
    <row r="7" customFormat="false" ht="16.5" hidden="false" customHeight="false" outlineLevel="0" collapsed="false">
      <c r="A7" s="13" t="s">
        <v>62</v>
      </c>
      <c r="B7" s="18" t="n">
        <v>60</v>
      </c>
      <c r="C7" s="19" t="n">
        <v>12</v>
      </c>
      <c r="D7" s="19" t="s">
        <v>63</v>
      </c>
      <c r="E7" s="13"/>
      <c r="F7" s="2"/>
      <c r="G7" s="2"/>
      <c r="H7" s="2"/>
    </row>
    <row r="8" customFormat="false" ht="16.5" hidden="false" customHeight="false" outlineLevel="0" collapsed="false">
      <c r="A8" s="13" t="s">
        <v>64</v>
      </c>
      <c r="B8" s="18" t="n">
        <v>35</v>
      </c>
      <c r="C8" s="19" t="n">
        <v>15</v>
      </c>
      <c r="D8" s="19" t="s">
        <v>63</v>
      </c>
      <c r="E8" s="13"/>
      <c r="F8" s="2"/>
      <c r="G8" s="2"/>
      <c r="H8" s="2"/>
    </row>
    <row r="9" customFormat="false" ht="16.5" hidden="false" customHeight="false" outlineLevel="0" collapsed="false">
      <c r="A9" s="13" t="s">
        <v>65</v>
      </c>
      <c r="B9" s="18" t="n">
        <v>140</v>
      </c>
      <c r="C9" s="19" t="n">
        <v>20</v>
      </c>
      <c r="D9" s="19" t="s">
        <v>63</v>
      </c>
      <c r="E9" s="13"/>
      <c r="F9" s="2"/>
      <c r="G9" s="2"/>
      <c r="H9" s="2"/>
    </row>
    <row r="10" customFormat="false" ht="16.5" hidden="false" customHeight="false" outlineLevel="0" collapsed="false">
      <c r="A10" s="13"/>
      <c r="B10" s="18"/>
      <c r="C10" s="19"/>
      <c r="D10" s="19"/>
      <c r="E10" s="13"/>
      <c r="F10" s="2"/>
      <c r="G10" s="2"/>
      <c r="H10" s="2"/>
    </row>
    <row r="11" customFormat="false" ht="16.5" hidden="false" customHeight="false" outlineLevel="0" collapsed="false">
      <c r="A11" s="13"/>
      <c r="B11" s="18"/>
      <c r="C11" s="19"/>
      <c r="D11" s="19"/>
      <c r="E11" s="13"/>
      <c r="F11" s="2"/>
      <c r="G11" s="2"/>
      <c r="H11" s="2"/>
    </row>
    <row r="12" customFormat="false" ht="16.5" hidden="false" customHeight="false" outlineLevel="0" collapsed="false">
      <c r="A12" s="13"/>
      <c r="B12" s="18"/>
      <c r="C12" s="19"/>
      <c r="D12" s="19"/>
      <c r="E12" s="13"/>
      <c r="F12" s="2"/>
      <c r="G12" s="2"/>
      <c r="H12" s="2"/>
    </row>
    <row r="13" customFormat="false" ht="16.5" hidden="false" customHeight="false" outlineLevel="0" collapsed="false">
      <c r="A13" s="13"/>
      <c r="B13" s="18"/>
      <c r="C13" s="19"/>
      <c r="D13" s="19"/>
      <c r="E13" s="13"/>
      <c r="F13" s="2"/>
      <c r="G13" s="2"/>
      <c r="H13" s="2"/>
    </row>
    <row r="14" customFormat="false" ht="16.5" hidden="false" customHeight="false" outlineLevel="0" collapsed="false">
      <c r="A14" s="13"/>
      <c r="B14" s="18"/>
      <c r="C14" s="19"/>
      <c r="D14" s="19"/>
      <c r="E14" s="13"/>
      <c r="F14" s="2"/>
      <c r="G14" s="2"/>
      <c r="H14" s="2"/>
    </row>
    <row r="15" customFormat="false" ht="16.5" hidden="false" customHeight="false" outlineLevel="0" collapsed="false">
      <c r="A15" s="13"/>
      <c r="B15" s="18"/>
      <c r="C15" s="19"/>
      <c r="D15" s="19"/>
      <c r="E15" s="13"/>
      <c r="F15" s="2"/>
      <c r="G15" s="2"/>
      <c r="H15" s="2"/>
    </row>
    <row r="16" customFormat="false" ht="16.5" hidden="false" customHeight="false" outlineLevel="0" collapsed="false">
      <c r="A16" s="13"/>
      <c r="B16" s="18"/>
      <c r="C16" s="19"/>
      <c r="D16" s="19"/>
      <c r="E16" s="13"/>
      <c r="F16" s="2"/>
      <c r="G16" s="2"/>
      <c r="H16" s="2"/>
    </row>
    <row r="17" customFormat="false" ht="16.5" hidden="false" customHeight="false" outlineLevel="0" collapsed="false">
      <c r="A17" s="13"/>
      <c r="B17" s="18"/>
      <c r="C17" s="19"/>
      <c r="D17" s="19"/>
      <c r="E17" s="13"/>
      <c r="F17" s="2"/>
      <c r="G17" s="2"/>
      <c r="H17" s="2"/>
    </row>
    <row r="18" customFormat="false" ht="16.5" hidden="false" customHeight="false" outlineLevel="0" collapsed="false">
      <c r="A18" s="13"/>
      <c r="B18" s="18"/>
      <c r="C18" s="19"/>
      <c r="D18" s="19"/>
      <c r="E18" s="13"/>
      <c r="F18" s="2"/>
      <c r="G18" s="2"/>
      <c r="H18" s="2"/>
    </row>
    <row r="19" customFormat="false" ht="16.5" hidden="false" customHeight="false" outlineLevel="0" collapsed="false">
      <c r="A19" s="13"/>
      <c r="B19" s="18"/>
      <c r="C19" s="19"/>
      <c r="D19" s="19"/>
      <c r="E19" s="13"/>
      <c r="F19" s="2"/>
      <c r="G19" s="2"/>
      <c r="H19" s="2"/>
    </row>
    <row r="20" customFormat="false" ht="16.5" hidden="false" customHeight="false" outlineLevel="0" collapsed="false">
      <c r="A20" s="13"/>
      <c r="B20" s="18"/>
      <c r="C20" s="19"/>
      <c r="D20" s="19"/>
      <c r="E20" s="13"/>
      <c r="F20" s="2"/>
      <c r="G20" s="2"/>
      <c r="H20" s="2"/>
    </row>
    <row r="21" customFormat="false" ht="16.5" hidden="false" customHeight="false" outlineLevel="0" collapsed="false">
      <c r="A21" s="13"/>
      <c r="B21" s="18"/>
      <c r="C21" s="19"/>
      <c r="D21" s="19"/>
      <c r="E21" s="13"/>
      <c r="F21" s="2"/>
      <c r="G21" s="2"/>
      <c r="H21" s="2"/>
    </row>
    <row r="22" customFormat="false" ht="16.5" hidden="false" customHeight="false" outlineLevel="0" collapsed="false">
      <c r="A22" s="13"/>
      <c r="B22" s="18"/>
      <c r="C22" s="19"/>
      <c r="D22" s="19"/>
      <c r="E22" s="13"/>
      <c r="F22" s="2"/>
      <c r="G22" s="2"/>
      <c r="H22" s="2"/>
    </row>
    <row r="23" customFormat="false" ht="16.5" hidden="false" customHeight="false" outlineLevel="0" collapsed="false">
      <c r="A23" s="13"/>
      <c r="B23" s="18"/>
      <c r="C23" s="19"/>
      <c r="D23" s="19"/>
      <c r="E23" s="13"/>
      <c r="F23" s="2"/>
      <c r="G23" s="2"/>
      <c r="H23" s="2"/>
    </row>
    <row r="24" customFormat="false" ht="16.5" hidden="false" customHeight="false" outlineLevel="0" collapsed="false">
      <c r="A24" s="13"/>
      <c r="B24" s="18"/>
      <c r="C24" s="19"/>
      <c r="D24" s="19"/>
      <c r="E24" s="13"/>
      <c r="F24" s="2"/>
      <c r="G24" s="2"/>
      <c r="H24" s="2"/>
    </row>
    <row r="25" customFormat="false" ht="16.5" hidden="false" customHeight="false" outlineLevel="0" collapsed="false">
      <c r="A25" s="13"/>
      <c r="B25" s="18"/>
      <c r="C25" s="19"/>
      <c r="D25" s="19"/>
      <c r="E25" s="13"/>
      <c r="F25" s="2"/>
      <c r="G25" s="2"/>
      <c r="H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6.5" hidden="false" customHeight="false" outlineLevel="0" collapsed="false">
      <c r="A27" s="16" t="s">
        <v>66</v>
      </c>
      <c r="B27" s="20" t="n">
        <f aca="false">SUM(B6:B25)</f>
        <v>1835</v>
      </c>
      <c r="C27" s="15" t="s">
        <v>67</v>
      </c>
      <c r="D27" s="2"/>
      <c r="E27" s="2"/>
      <c r="F27" s="2"/>
      <c r="G27" s="2"/>
      <c r="H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</sheetData>
  <sheetProtection sheet="true" formatCells="false" formatColumns="false" formatRows="false"/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D6:D25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2"/>
      <c r="I1" s="2"/>
    </row>
    <row r="2" customFormat="false" ht="15.75" hidden="false" customHeight="true" outlineLevel="0" collapsed="false">
      <c r="A2" s="3" t="s">
        <v>69</v>
      </c>
      <c r="B2" s="3"/>
      <c r="C2" s="3"/>
      <c r="D2" s="3"/>
      <c r="E2" s="3"/>
      <c r="F2" s="3"/>
      <c r="G2" s="3"/>
      <c r="H2" s="2"/>
      <c r="I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6.5" hidden="false" customHeight="false" outlineLevel="0" collapsed="false">
      <c r="A4" s="15" t="s">
        <v>70</v>
      </c>
      <c r="B4" s="2"/>
      <c r="C4" s="2"/>
      <c r="D4" s="2"/>
      <c r="E4" s="2"/>
      <c r="F4" s="2"/>
      <c r="G4" s="2"/>
      <c r="H4" s="2"/>
      <c r="I4" s="2"/>
    </row>
    <row r="5" customFormat="false" ht="19.5" hidden="false" customHeight="true" outlineLevel="0" collapsed="false">
      <c r="A5" s="12" t="s">
        <v>71</v>
      </c>
      <c r="B5" s="12" t="s">
        <v>72</v>
      </c>
      <c r="C5" s="12" t="s">
        <v>73</v>
      </c>
      <c r="D5" s="12" t="s">
        <v>74</v>
      </c>
      <c r="E5" s="12" t="s">
        <v>75</v>
      </c>
      <c r="F5" s="12" t="s">
        <v>76</v>
      </c>
      <c r="G5" s="12" t="s">
        <v>77</v>
      </c>
      <c r="H5" s="2"/>
      <c r="I5" s="2"/>
    </row>
    <row r="6" customFormat="false" ht="16.5" hidden="false" customHeight="false" outlineLevel="0" collapsed="false">
      <c r="A6" s="13" t="s">
        <v>78</v>
      </c>
      <c r="B6" s="14" t="n">
        <v>2400</v>
      </c>
      <c r="C6" s="21" t="n">
        <v>0.229</v>
      </c>
      <c r="D6" s="14" t="n">
        <v>120</v>
      </c>
      <c r="E6" s="22" t="n">
        <f aca="false">IF(OR($A6="",$B6="",$D6=""),"",IFERROR(ROUNDUP(NPER($C6/12,-$D6,$B6),0),"Payment too small"))</f>
        <v>26</v>
      </c>
      <c r="F6" s="23" t="n">
        <f aca="true">IF(ISNUMBER($E6),EDATE(TODAY(),$E6),"")</f>
        <v>47037</v>
      </c>
      <c r="G6" s="24" t="n">
        <f aca="false">IF(ISNUMBER($E6),ROUND($D6*NPER($C6/12,-$D6,$B6)-$B6,2),"")</f>
        <v>651.67</v>
      </c>
      <c r="H6" s="2"/>
      <c r="I6" s="2"/>
    </row>
    <row r="7" customFormat="false" ht="16.5" hidden="false" customHeight="false" outlineLevel="0" collapsed="false">
      <c r="A7" s="13" t="s">
        <v>79</v>
      </c>
      <c r="B7" s="14" t="n">
        <v>850</v>
      </c>
      <c r="C7" s="21" t="n">
        <v>0</v>
      </c>
      <c r="D7" s="14" t="n">
        <v>50</v>
      </c>
      <c r="E7" s="22" t="n">
        <f aca="false">IF(OR($A7="",$B7="",$D7=""),"",IFERROR(ROUNDUP(NPER($C7/12,-$D7,$B7),0),"Payment too small"))</f>
        <v>17</v>
      </c>
      <c r="F7" s="23" t="n">
        <f aca="true">IF(ISNUMBER($E7),EDATE(TODAY(),$E7),"")</f>
        <v>46763</v>
      </c>
      <c r="G7" s="24" t="n">
        <f aca="false">IF(ISNUMBER($E7),ROUND($D7*NPER($C7/12,-$D7,$B7)-$B7,2),"")</f>
        <v>0</v>
      </c>
      <c r="H7" s="2"/>
      <c r="I7" s="2"/>
    </row>
    <row r="8" customFormat="false" ht="16.5" hidden="false" customHeight="false" outlineLevel="0" collapsed="false">
      <c r="A8" s="13"/>
      <c r="B8" s="14"/>
      <c r="C8" s="21"/>
      <c r="D8" s="14"/>
      <c r="E8" s="22" t="str">
        <f aca="false">IF(OR($A8="",$B8="",$D8=""),"",IFERROR(ROUNDUP(NPER($C8/12,-$D8,$B8),0),"Payment too small"))</f>
        <v/>
      </c>
      <c r="F8" s="23" t="str">
        <f aca="true">IF(ISNUMBER($E8),EDATE(TODAY(),$E8),"")</f>
        <v/>
      </c>
      <c r="G8" s="24" t="str">
        <f aca="false">IF(ISNUMBER($E8),ROUND($D8*NPER($C8/12,-$D8,$B8)-$B8,2),"")</f>
        <v/>
      </c>
      <c r="H8" s="2"/>
      <c r="I8" s="2"/>
    </row>
    <row r="9" customFormat="false" ht="16.5" hidden="false" customHeight="false" outlineLevel="0" collapsed="false">
      <c r="A9" s="13"/>
      <c r="B9" s="14"/>
      <c r="C9" s="21"/>
      <c r="D9" s="14"/>
      <c r="E9" s="22" t="str">
        <f aca="false">IF(OR($A9="",$B9="",$D9=""),"",IFERROR(ROUNDUP(NPER($C9/12,-$D9,$B9),0),"Payment too small"))</f>
        <v/>
      </c>
      <c r="F9" s="23" t="str">
        <f aca="true">IF(ISNUMBER($E9),EDATE(TODAY(),$E9),"")</f>
        <v/>
      </c>
      <c r="G9" s="24" t="str">
        <f aca="false">IF(ISNUMBER($E9),ROUND($D9*NPER($C9/12,-$D9,$B9)-$B9,2),"")</f>
        <v/>
      </c>
      <c r="H9" s="2"/>
      <c r="I9" s="2"/>
    </row>
    <row r="10" customFormat="false" ht="16.5" hidden="false" customHeight="false" outlineLevel="0" collapsed="false">
      <c r="A10" s="13"/>
      <c r="B10" s="14"/>
      <c r="C10" s="21"/>
      <c r="D10" s="14"/>
      <c r="E10" s="22" t="str">
        <f aca="false">IF(OR($A10="",$B10="",$D10=""),"",IFERROR(ROUNDUP(NPER($C10/12,-$D10,$B10),0),"Payment too small"))</f>
        <v/>
      </c>
      <c r="F10" s="23" t="str">
        <f aca="true">IF(ISNUMBER($E10),EDATE(TODAY(),$E10),"")</f>
        <v/>
      </c>
      <c r="G10" s="24" t="str">
        <f aca="false">IF(ISNUMBER($E10),ROUND($D10*NPER($C10/12,-$D10,$B10)-$B10,2),"")</f>
        <v/>
      </c>
      <c r="H10" s="2"/>
      <c r="I10" s="2"/>
    </row>
    <row r="11" customFormat="false" ht="16.5" hidden="false" customHeight="false" outlineLevel="0" collapsed="false">
      <c r="A11" s="13"/>
      <c r="B11" s="14"/>
      <c r="C11" s="21"/>
      <c r="D11" s="14"/>
      <c r="E11" s="22" t="str">
        <f aca="false">IF(OR($A11="",$B11="",$D11=""),"",IFERROR(ROUNDUP(NPER($C11/12,-$D11,$B11),0),"Payment too small"))</f>
        <v/>
      </c>
      <c r="F11" s="23" t="str">
        <f aca="true">IF(ISNUMBER($E11),EDATE(TODAY(),$E11),"")</f>
        <v/>
      </c>
      <c r="G11" s="24" t="str">
        <f aca="false">IF(ISNUMBER($E11),ROUND($D11*NPER($C11/12,-$D11,$B11)-$B11,2),"")</f>
        <v/>
      </c>
      <c r="H11" s="2"/>
      <c r="I11" s="2"/>
    </row>
    <row r="12" customFormat="false" ht="16.5" hidden="false" customHeight="false" outlineLevel="0" collapsed="false">
      <c r="A12" s="13"/>
      <c r="B12" s="14"/>
      <c r="C12" s="21"/>
      <c r="D12" s="14"/>
      <c r="E12" s="22" t="str">
        <f aca="false">IF(OR($A12="",$B12="",$D12=""),"",IFERROR(ROUNDUP(NPER($C12/12,-$D12,$B12),0),"Payment too small"))</f>
        <v/>
      </c>
      <c r="F12" s="23" t="str">
        <f aca="true">IF(ISNUMBER($E12),EDATE(TODAY(),$E12),"")</f>
        <v/>
      </c>
      <c r="G12" s="24" t="str">
        <f aca="false">IF(ISNUMBER($E12),ROUND($D12*NPER($C12/12,-$D12,$B12)-$B12,2),"")</f>
        <v/>
      </c>
      <c r="H12" s="2"/>
      <c r="I12" s="2"/>
    </row>
    <row r="13" customFormat="false" ht="16.5" hidden="false" customHeight="false" outlineLevel="0" collapsed="false">
      <c r="A13" s="13"/>
      <c r="B13" s="14"/>
      <c r="C13" s="21"/>
      <c r="D13" s="14"/>
      <c r="E13" s="22" t="str">
        <f aca="false">IF(OR($A13="",$B13="",$D13=""),"",IFERROR(ROUNDUP(NPER($C13/12,-$D13,$B13),0),"Payment too small"))</f>
        <v/>
      </c>
      <c r="F13" s="23" t="str">
        <f aca="true">IF(ISNUMBER($E13),EDATE(TODAY(),$E13),"")</f>
        <v/>
      </c>
      <c r="G13" s="24" t="str">
        <f aca="false">IF(ISNUMBER($E13),ROUND($D13*NPER($C13/12,-$D13,$B13)-$B13,2),"")</f>
        <v/>
      </c>
      <c r="H13" s="2"/>
      <c r="I13" s="2"/>
    </row>
    <row r="14" customFormat="false" ht="16.5" hidden="false" customHeight="false" outlineLevel="0" collapsed="false">
      <c r="A14" s="13"/>
      <c r="B14" s="14"/>
      <c r="C14" s="21"/>
      <c r="D14" s="14"/>
      <c r="E14" s="22" t="str">
        <f aca="false">IF(OR($A14="",$B14="",$D14=""),"",IFERROR(ROUNDUP(NPER($C14/12,-$D14,$B14),0),"Payment too small"))</f>
        <v/>
      </c>
      <c r="F14" s="23" t="str">
        <f aca="true">IF(ISNUMBER($E14),EDATE(TODAY(),$E14),"")</f>
        <v/>
      </c>
      <c r="G14" s="24" t="str">
        <f aca="false">IF(ISNUMBER($E14),ROUND($D14*NPER($C14/12,-$D14,$B14)-$B14,2),"")</f>
        <v/>
      </c>
      <c r="H14" s="2"/>
      <c r="I14" s="2"/>
    </row>
    <row r="15" customFormat="false" ht="16.5" hidden="false" customHeight="false" outlineLevel="0" collapsed="false">
      <c r="A15" s="13"/>
      <c r="B15" s="14"/>
      <c r="C15" s="21"/>
      <c r="D15" s="14"/>
      <c r="E15" s="22" t="str">
        <f aca="false">IF(OR($A15="",$B15="",$D15=""),"",IFERROR(ROUNDUP(NPER($C15/12,-$D15,$B15),0),"Payment too small"))</f>
        <v/>
      </c>
      <c r="F15" s="23" t="str">
        <f aca="true">IF(ISNUMBER($E15),EDATE(TODAY(),$E15),"")</f>
        <v/>
      </c>
      <c r="G15" s="24" t="str">
        <f aca="false">IF(ISNUMBER($E15),ROUND($D15*NPER($C15/12,-$D15,$B15)-$B15,2),"")</f>
        <v/>
      </c>
      <c r="H15" s="2"/>
      <c r="I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6.5" hidden="false" customHeight="false" outlineLevel="0" collapsed="false">
      <c r="A17" s="16" t="s">
        <v>80</v>
      </c>
      <c r="B17" s="25" t="n">
        <f aca="false">SUM(B6:B15)</f>
        <v>3250</v>
      </c>
      <c r="C17" s="2"/>
      <c r="D17" s="25" t="n">
        <f aca="false">SUM(D6:D15)</f>
        <v>170</v>
      </c>
      <c r="E17" s="2"/>
      <c r="F17" s="2"/>
      <c r="G17" s="2"/>
      <c r="H17" s="2"/>
      <c r="I17" s="2"/>
    </row>
    <row r="18" customFormat="false" ht="16.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6.5" hidden="false" customHeight="false" outlineLevel="0" collapsed="false">
      <c r="A19" s="6" t="s">
        <v>81</v>
      </c>
      <c r="B19" s="2"/>
      <c r="C19" s="2"/>
      <c r="D19" s="2"/>
      <c r="E19" s="2"/>
      <c r="F19" s="2"/>
      <c r="G19" s="2"/>
      <c r="H19" s="2"/>
      <c r="I19" s="2"/>
    </row>
    <row r="20" customFormat="false" ht="16.5" hidden="false" customHeight="false" outlineLevel="0" collapsed="false">
      <c r="A20" s="8" t="s">
        <v>82</v>
      </c>
      <c r="B20" s="14" t="n">
        <v>50</v>
      </c>
      <c r="C20" s="2"/>
      <c r="D20" s="2"/>
      <c r="E20" s="2"/>
      <c r="F20" s="2"/>
      <c r="G20" s="2"/>
      <c r="H20" s="2"/>
      <c r="I20" s="2"/>
    </row>
    <row r="21" customFormat="false" ht="16.5" hidden="false" customHeight="false" outlineLevel="0" collapsed="false">
      <c r="A21" s="8" t="s">
        <v>83</v>
      </c>
      <c r="B21" s="26" t="str">
        <f aca="false">IFERROR(INDEX($A$6:$A$15,MATCH(MAX($C$6:$C$15),$C$6:$C$15,0)),"")</f>
        <v>Credit card</v>
      </c>
      <c r="C21" s="26"/>
      <c r="D21" s="26"/>
      <c r="E21" s="2"/>
      <c r="F21" s="2"/>
      <c r="G21" s="2"/>
      <c r="H21" s="2"/>
      <c r="I21" s="2"/>
    </row>
    <row r="22" customFormat="false" ht="16.5" hidden="false" customHeight="false" outlineLevel="0" collapsed="false">
      <c r="A22" s="8" t="s">
        <v>84</v>
      </c>
      <c r="B22" s="27" t="n">
        <f aca="false">IF(OR($B$21="",$B$25=""),"",IFERROR(ROUNDUP(NPER($C$25,-($D$25+$B$20),$B$25),0),"—"))</f>
        <v>17</v>
      </c>
      <c r="C22" s="28" t="str">
        <f aca="false">IF($B$22="","","months — instead of "&amp;IFERROR(ROUNDUP(NPER($C$25,-$D$25,$B$25),0),"—"))</f>
        <v>months — instead of 26</v>
      </c>
      <c r="D22" s="28"/>
      <c r="E22" s="28"/>
      <c r="F22" s="2"/>
      <c r="G22" s="2"/>
      <c r="H22" s="2"/>
      <c r="I22" s="2"/>
    </row>
    <row r="23" customFormat="false" ht="16.5" hidden="false" customHeight="false" outlineLevel="0" collapsed="false">
      <c r="A23" s="8" t="s">
        <v>85</v>
      </c>
      <c r="B23" s="29" t="n">
        <f aca="false">IF(OR($B$21="",$B$25=""),"",IFERROR(ROUND($D$25*NPER($C$25,-$D$25,$B$25)-($D$25+$B$20)*NPER($C$25,-($D$25+$B$20),$B$25),2),""))</f>
        <v>228.71</v>
      </c>
      <c r="C23" s="2"/>
      <c r="D23" s="2"/>
      <c r="E23" s="2"/>
      <c r="F23" s="2"/>
      <c r="G23" s="2"/>
      <c r="H23" s="2"/>
      <c r="I23" s="2"/>
    </row>
    <row r="24" customFormat="false" ht="16.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6.5" hidden="false" customHeight="false" outlineLevel="0" collapsed="false">
      <c r="A25" s="30" t="s">
        <v>86</v>
      </c>
      <c r="B25" s="31" t="n">
        <f aca="false">IFERROR(INDEX($B$6:$B$15,MATCH(MAX($C$6:$C$15),$C$6:$C$15,0)),"")</f>
        <v>2400</v>
      </c>
      <c r="C25" s="32" t="n">
        <f aca="false">IFERROR(MAX($C$6:$C$15)/12,"")</f>
        <v>0.0190833333333333</v>
      </c>
      <c r="D25" s="31" t="n">
        <f aca="false">IFERROR(INDEX($D$6:$D$15,MATCH(MAX($C$6:$C$15),$C$6:$C$15,0)),"")</f>
        <v>120</v>
      </c>
      <c r="E25" s="2"/>
      <c r="F25" s="2"/>
      <c r="G25" s="2"/>
      <c r="H25" s="2"/>
      <c r="I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6.5" hidden="false" customHeight="false" outlineLevel="0" collapsed="false">
      <c r="A27" s="15" t="s">
        <v>87</v>
      </c>
      <c r="B27" s="2"/>
      <c r="C27" s="2"/>
      <c r="D27" s="2"/>
      <c r="E27" s="2"/>
      <c r="F27" s="2"/>
      <c r="G27" s="2"/>
      <c r="H27" s="2"/>
      <c r="I27" s="2"/>
    </row>
    <row r="28" customFormat="false" ht="16.5" hidden="false" customHeight="false" outlineLevel="0" collapsed="false">
      <c r="A28" s="15" t="s">
        <v>88</v>
      </c>
      <c r="B28" s="2"/>
      <c r="C28" s="2"/>
      <c r="D28" s="2"/>
      <c r="E28" s="2"/>
      <c r="F28" s="2"/>
      <c r="G28" s="2"/>
      <c r="H28" s="2"/>
      <c r="I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</sheetData>
  <sheetProtection sheet="true" formatCells="false" formatColumns="false" formatRows="false"/>
  <mergeCells count="4">
    <mergeCell ref="A1:G1"/>
    <mergeCell ref="A2:G2"/>
    <mergeCell ref="B21:D21"/>
    <mergeCell ref="C22:E2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4"/>
  </cols>
  <sheetData>
    <row r="1" customFormat="false" ht="25.5" hidden="false" customHeight="true" outlineLevel="0" collapsed="false">
      <c r="A1" s="1" t="s">
        <v>89</v>
      </c>
      <c r="B1" s="1"/>
      <c r="C1" s="1"/>
      <c r="D1" s="1"/>
    </row>
    <row r="2" customFormat="false" ht="15.75" hidden="false" customHeight="true" outlineLevel="0" collapsed="false">
      <c r="A2" s="3" t="s">
        <v>90</v>
      </c>
      <c r="B2" s="3"/>
      <c r="C2" s="3"/>
      <c r="D2" s="3"/>
    </row>
    <row r="4" customFormat="false" ht="16.5" hidden="false" customHeight="false" outlineLevel="0" collapsed="false">
      <c r="A4" s="33" t="s">
        <v>91</v>
      </c>
    </row>
    <row r="5" customFormat="false" ht="19.5" hidden="false" customHeight="true" outlineLevel="0" collapsed="false">
      <c r="A5" s="12" t="s">
        <v>92</v>
      </c>
      <c r="B5" s="12" t="s">
        <v>93</v>
      </c>
      <c r="C5" s="12" t="s">
        <v>33</v>
      </c>
      <c r="D5" s="12" t="s">
        <v>55</v>
      </c>
    </row>
    <row r="6" customFormat="false" ht="16.5" hidden="false" customHeight="false" outlineLevel="0" collapsed="false">
      <c r="A6" s="34" t="n">
        <v>46204</v>
      </c>
      <c r="B6" s="35" t="s">
        <v>59</v>
      </c>
      <c r="C6" s="35" t="s">
        <v>35</v>
      </c>
      <c r="D6" s="36" t="n">
        <v>1600</v>
      </c>
    </row>
    <row r="7" customFormat="false" ht="16.5" hidden="false" customHeight="false" outlineLevel="0" collapsed="false">
      <c r="A7" s="37" t="n">
        <v>46209</v>
      </c>
      <c r="B7" s="38" t="s">
        <v>94</v>
      </c>
      <c r="C7" s="38" t="s">
        <v>36</v>
      </c>
      <c r="D7" s="39" t="n">
        <v>96.4</v>
      </c>
    </row>
    <row r="8" customFormat="false" ht="16.5" hidden="false" customHeight="false" outlineLevel="0" collapsed="false">
      <c r="A8" s="34" t="n">
        <v>46221</v>
      </c>
      <c r="B8" s="35" t="s">
        <v>95</v>
      </c>
      <c r="C8" s="35" t="s">
        <v>43</v>
      </c>
      <c r="D8" s="36" t="n">
        <v>89</v>
      </c>
    </row>
    <row r="9" customFormat="false" ht="16.5" hidden="false" customHeight="false" outlineLevel="0" collapsed="false">
      <c r="A9" s="37" t="n">
        <v>46227</v>
      </c>
      <c r="B9" s="38" t="s">
        <v>96</v>
      </c>
      <c r="C9" s="38" t="s">
        <v>36</v>
      </c>
      <c r="D9" s="39" t="n">
        <v>88.1</v>
      </c>
    </row>
    <row r="10" customFormat="false" ht="16.5" hidden="false" customHeight="false" outlineLevel="0" collapsed="false">
      <c r="A10" s="34" t="n">
        <v>46235</v>
      </c>
      <c r="B10" s="35" t="s">
        <v>59</v>
      </c>
      <c r="C10" s="35" t="s">
        <v>35</v>
      </c>
      <c r="D10" s="36" t="n">
        <v>1600</v>
      </c>
    </row>
    <row r="11" customFormat="false" ht="16.5" hidden="false" customHeight="false" outlineLevel="0" collapsed="false">
      <c r="A11" s="37" t="n">
        <v>46237</v>
      </c>
      <c r="B11" s="38" t="s">
        <v>97</v>
      </c>
      <c r="C11" s="38" t="s">
        <v>36</v>
      </c>
      <c r="D11" s="39" t="n">
        <v>84.2</v>
      </c>
    </row>
    <row r="12" customFormat="false" ht="16.5" hidden="false" customHeight="false" outlineLevel="0" collapsed="false">
      <c r="A12" s="34" t="n">
        <v>46239</v>
      </c>
      <c r="B12" s="35" t="s">
        <v>98</v>
      </c>
      <c r="C12" s="35" t="s">
        <v>38</v>
      </c>
      <c r="D12" s="36" t="n">
        <v>42.5</v>
      </c>
    </row>
    <row r="13" customFormat="false" ht="16.5" hidden="false" customHeight="false" outlineLevel="0" collapsed="false">
      <c r="A13" s="37" t="n">
        <v>46242</v>
      </c>
      <c r="B13" s="38" t="s">
        <v>99</v>
      </c>
      <c r="C13" s="38" t="s">
        <v>37</v>
      </c>
      <c r="D13" s="39" t="n">
        <v>56.8</v>
      </c>
    </row>
    <row r="14" customFormat="false" ht="16.5" hidden="false" customHeight="false" outlineLevel="0" collapsed="false">
      <c r="A14" s="34"/>
      <c r="B14" s="35"/>
      <c r="C14" s="35"/>
      <c r="D14" s="36"/>
    </row>
    <row r="15" customFormat="false" ht="16.5" hidden="false" customHeight="false" outlineLevel="0" collapsed="false">
      <c r="A15" s="37"/>
      <c r="B15" s="38"/>
      <c r="C15" s="38"/>
      <c r="D15" s="39"/>
    </row>
    <row r="16" customFormat="false" ht="16.5" hidden="false" customHeight="false" outlineLevel="0" collapsed="false">
      <c r="A16" s="34"/>
      <c r="B16" s="35"/>
      <c r="C16" s="35"/>
      <c r="D16" s="36"/>
    </row>
    <row r="17" customFormat="false" ht="16.5" hidden="false" customHeight="false" outlineLevel="0" collapsed="false">
      <c r="A17" s="37"/>
      <c r="B17" s="38"/>
      <c r="C17" s="38"/>
      <c r="D17" s="39"/>
    </row>
    <row r="18" customFormat="false" ht="16.5" hidden="false" customHeight="false" outlineLevel="0" collapsed="false">
      <c r="A18" s="34"/>
      <c r="B18" s="35"/>
      <c r="C18" s="35"/>
      <c r="D18" s="36"/>
    </row>
    <row r="19" customFormat="false" ht="16.5" hidden="false" customHeight="false" outlineLevel="0" collapsed="false">
      <c r="A19" s="37"/>
      <c r="B19" s="38"/>
      <c r="C19" s="38"/>
      <c r="D19" s="39"/>
    </row>
    <row r="20" customFormat="false" ht="16.5" hidden="false" customHeight="false" outlineLevel="0" collapsed="false">
      <c r="A20" s="34"/>
      <c r="B20" s="35"/>
      <c r="C20" s="35"/>
      <c r="D20" s="36"/>
    </row>
    <row r="21" customFormat="false" ht="16.5" hidden="false" customHeight="false" outlineLevel="0" collapsed="false">
      <c r="A21" s="37"/>
      <c r="B21" s="38"/>
      <c r="C21" s="38"/>
      <c r="D21" s="39"/>
    </row>
    <row r="22" customFormat="false" ht="16.5" hidden="false" customHeight="false" outlineLevel="0" collapsed="false">
      <c r="A22" s="34"/>
      <c r="B22" s="35"/>
      <c r="C22" s="35"/>
      <c r="D22" s="36"/>
    </row>
    <row r="23" customFormat="false" ht="16.5" hidden="false" customHeight="false" outlineLevel="0" collapsed="false">
      <c r="A23" s="37"/>
      <c r="B23" s="38"/>
      <c r="C23" s="38"/>
      <c r="D23" s="39"/>
    </row>
    <row r="24" customFormat="false" ht="16.5" hidden="false" customHeight="false" outlineLevel="0" collapsed="false">
      <c r="A24" s="34"/>
      <c r="B24" s="35"/>
      <c r="C24" s="35"/>
      <c r="D24" s="36"/>
    </row>
    <row r="25" customFormat="false" ht="16.5" hidden="false" customHeight="false" outlineLevel="0" collapsed="false">
      <c r="A25" s="37"/>
      <c r="B25" s="38"/>
      <c r="C25" s="38"/>
      <c r="D25" s="39"/>
    </row>
    <row r="26" customFormat="false" ht="16.5" hidden="false" customHeight="false" outlineLevel="0" collapsed="false">
      <c r="A26" s="34"/>
      <c r="B26" s="35"/>
      <c r="C26" s="35"/>
      <c r="D26" s="36"/>
    </row>
    <row r="27" customFormat="false" ht="16.5" hidden="false" customHeight="false" outlineLevel="0" collapsed="false">
      <c r="A27" s="37"/>
      <c r="B27" s="38"/>
      <c r="C27" s="38"/>
      <c r="D27" s="39"/>
    </row>
    <row r="28" customFormat="false" ht="16.5" hidden="false" customHeight="false" outlineLevel="0" collapsed="false">
      <c r="A28" s="34"/>
      <c r="B28" s="35"/>
      <c r="C28" s="35"/>
      <c r="D28" s="36"/>
    </row>
    <row r="29" customFormat="false" ht="16.5" hidden="false" customHeight="false" outlineLevel="0" collapsed="false">
      <c r="A29" s="37"/>
      <c r="B29" s="38"/>
      <c r="C29" s="38"/>
      <c r="D29" s="39"/>
    </row>
    <row r="30" customFormat="false" ht="16.5" hidden="false" customHeight="false" outlineLevel="0" collapsed="false">
      <c r="A30" s="34"/>
      <c r="B30" s="35"/>
      <c r="C30" s="35"/>
      <c r="D30" s="36"/>
    </row>
    <row r="31" customFormat="false" ht="16.5" hidden="false" customHeight="false" outlineLevel="0" collapsed="false">
      <c r="A31" s="37"/>
      <c r="B31" s="38"/>
      <c r="C31" s="38"/>
      <c r="D31" s="39"/>
    </row>
    <row r="32" customFormat="false" ht="16.5" hidden="false" customHeight="false" outlineLevel="0" collapsed="false">
      <c r="A32" s="34"/>
      <c r="B32" s="35"/>
      <c r="C32" s="35"/>
      <c r="D32" s="36"/>
    </row>
    <row r="33" customFormat="false" ht="16.5" hidden="false" customHeight="false" outlineLevel="0" collapsed="false">
      <c r="A33" s="37"/>
      <c r="B33" s="38"/>
      <c r="C33" s="38"/>
      <c r="D33" s="39"/>
    </row>
    <row r="34" customFormat="false" ht="16.5" hidden="false" customHeight="false" outlineLevel="0" collapsed="false">
      <c r="A34" s="34"/>
      <c r="B34" s="35"/>
      <c r="C34" s="35"/>
      <c r="D34" s="36"/>
    </row>
    <row r="35" customFormat="false" ht="16.5" hidden="false" customHeight="false" outlineLevel="0" collapsed="false">
      <c r="A35" s="37"/>
      <c r="B35" s="38"/>
      <c r="C35" s="38"/>
      <c r="D35" s="39"/>
    </row>
    <row r="36" customFormat="false" ht="16.5" hidden="false" customHeight="false" outlineLevel="0" collapsed="false">
      <c r="A36" s="34"/>
      <c r="B36" s="35"/>
      <c r="C36" s="35"/>
      <c r="D36" s="36"/>
    </row>
    <row r="37" customFormat="false" ht="16.5" hidden="false" customHeight="false" outlineLevel="0" collapsed="false">
      <c r="A37" s="37"/>
      <c r="B37" s="38"/>
      <c r="C37" s="38"/>
      <c r="D37" s="39"/>
    </row>
    <row r="38" customFormat="false" ht="16.5" hidden="false" customHeight="false" outlineLevel="0" collapsed="false">
      <c r="A38" s="34"/>
      <c r="B38" s="35"/>
      <c r="C38" s="35"/>
      <c r="D38" s="36"/>
    </row>
    <row r="39" customFormat="false" ht="16.5" hidden="false" customHeight="false" outlineLevel="0" collapsed="false">
      <c r="A39" s="37"/>
      <c r="B39" s="38"/>
      <c r="C39" s="38"/>
      <c r="D39" s="39"/>
    </row>
    <row r="40" customFormat="false" ht="16.5" hidden="false" customHeight="false" outlineLevel="0" collapsed="false">
      <c r="A40" s="34"/>
      <c r="B40" s="35"/>
      <c r="C40" s="35"/>
      <c r="D40" s="36"/>
    </row>
    <row r="41" customFormat="false" ht="16.5" hidden="false" customHeight="false" outlineLevel="0" collapsed="false">
      <c r="A41" s="37"/>
      <c r="B41" s="38"/>
      <c r="C41" s="38"/>
      <c r="D41" s="39"/>
    </row>
    <row r="42" customFormat="false" ht="16.5" hidden="false" customHeight="false" outlineLevel="0" collapsed="false">
      <c r="A42" s="34"/>
      <c r="B42" s="35"/>
      <c r="C42" s="35"/>
      <c r="D42" s="36"/>
    </row>
    <row r="43" customFormat="false" ht="16.5" hidden="false" customHeight="false" outlineLevel="0" collapsed="false">
      <c r="A43" s="37"/>
      <c r="B43" s="38"/>
      <c r="C43" s="38"/>
      <c r="D43" s="39"/>
    </row>
    <row r="44" customFormat="false" ht="16.5" hidden="false" customHeight="false" outlineLevel="0" collapsed="false">
      <c r="A44" s="34"/>
      <c r="B44" s="35"/>
      <c r="C44" s="35"/>
      <c r="D44" s="36"/>
    </row>
    <row r="45" customFormat="false" ht="16.5" hidden="false" customHeight="false" outlineLevel="0" collapsed="false">
      <c r="A45" s="37"/>
      <c r="B45" s="38"/>
      <c r="C45" s="38"/>
      <c r="D45" s="39"/>
    </row>
    <row r="46" customFormat="false" ht="16.5" hidden="false" customHeight="false" outlineLevel="0" collapsed="false">
      <c r="A46" s="34"/>
      <c r="B46" s="35"/>
      <c r="C46" s="35"/>
      <c r="D46" s="36"/>
    </row>
    <row r="47" customFormat="false" ht="16.5" hidden="false" customHeight="false" outlineLevel="0" collapsed="false">
      <c r="A47" s="37"/>
      <c r="B47" s="38"/>
      <c r="C47" s="38"/>
      <c r="D47" s="39"/>
    </row>
    <row r="48" customFormat="false" ht="16.5" hidden="false" customHeight="false" outlineLevel="0" collapsed="false">
      <c r="A48" s="34"/>
      <c r="B48" s="35"/>
      <c r="C48" s="35"/>
      <c r="D48" s="36"/>
    </row>
    <row r="49" customFormat="false" ht="16.5" hidden="false" customHeight="false" outlineLevel="0" collapsed="false">
      <c r="A49" s="37"/>
      <c r="B49" s="38"/>
      <c r="C49" s="38"/>
      <c r="D49" s="39"/>
    </row>
    <row r="50" customFormat="false" ht="16.5" hidden="false" customHeight="false" outlineLevel="0" collapsed="false">
      <c r="A50" s="34"/>
      <c r="B50" s="35"/>
      <c r="C50" s="35"/>
      <c r="D50" s="36"/>
    </row>
    <row r="51" customFormat="false" ht="16.5" hidden="false" customHeight="false" outlineLevel="0" collapsed="false">
      <c r="A51" s="37"/>
      <c r="B51" s="38"/>
      <c r="C51" s="38"/>
      <c r="D51" s="39"/>
    </row>
    <row r="52" customFormat="false" ht="16.5" hidden="false" customHeight="false" outlineLevel="0" collapsed="false">
      <c r="A52" s="34"/>
      <c r="B52" s="35"/>
      <c r="C52" s="35"/>
      <c r="D52" s="36"/>
    </row>
    <row r="53" customFormat="false" ht="16.5" hidden="false" customHeight="false" outlineLevel="0" collapsed="false">
      <c r="A53" s="37"/>
      <c r="B53" s="38"/>
      <c r="C53" s="38"/>
      <c r="D53" s="39"/>
    </row>
    <row r="54" customFormat="false" ht="16.5" hidden="false" customHeight="false" outlineLevel="0" collapsed="false">
      <c r="A54" s="34"/>
      <c r="B54" s="35"/>
      <c r="C54" s="35"/>
      <c r="D54" s="36"/>
    </row>
    <row r="55" customFormat="false" ht="16.5" hidden="false" customHeight="false" outlineLevel="0" collapsed="false">
      <c r="A55" s="37"/>
      <c r="B55" s="38"/>
      <c r="C55" s="38"/>
      <c r="D55" s="39"/>
    </row>
    <row r="56" customFormat="false" ht="16.5" hidden="false" customHeight="false" outlineLevel="0" collapsed="false">
      <c r="A56" s="34"/>
      <c r="B56" s="35"/>
      <c r="C56" s="35"/>
      <c r="D56" s="36"/>
    </row>
    <row r="57" customFormat="false" ht="16.5" hidden="false" customHeight="false" outlineLevel="0" collapsed="false">
      <c r="A57" s="37"/>
      <c r="B57" s="38"/>
      <c r="C57" s="38"/>
      <c r="D57" s="39"/>
    </row>
    <row r="58" customFormat="false" ht="16.5" hidden="false" customHeight="false" outlineLevel="0" collapsed="false">
      <c r="A58" s="34"/>
      <c r="B58" s="35"/>
      <c r="C58" s="35"/>
      <c r="D58" s="36"/>
    </row>
    <row r="59" customFormat="false" ht="16.5" hidden="false" customHeight="false" outlineLevel="0" collapsed="false">
      <c r="A59" s="37"/>
      <c r="B59" s="38"/>
      <c r="C59" s="38"/>
      <c r="D59" s="39"/>
    </row>
    <row r="60" customFormat="false" ht="16.5" hidden="false" customHeight="false" outlineLevel="0" collapsed="false">
      <c r="A60" s="34"/>
      <c r="B60" s="35"/>
      <c r="C60" s="35"/>
      <c r="D60" s="36"/>
    </row>
    <row r="61" customFormat="false" ht="16.5" hidden="false" customHeight="false" outlineLevel="0" collapsed="false">
      <c r="A61" s="37"/>
      <c r="B61" s="38"/>
      <c r="C61" s="38"/>
      <c r="D61" s="39"/>
    </row>
    <row r="62" customFormat="false" ht="16.5" hidden="false" customHeight="false" outlineLevel="0" collapsed="false">
      <c r="A62" s="34"/>
      <c r="B62" s="35"/>
      <c r="C62" s="35"/>
      <c r="D62" s="36"/>
    </row>
    <row r="63" customFormat="false" ht="16.5" hidden="false" customHeight="false" outlineLevel="0" collapsed="false">
      <c r="A63" s="37"/>
      <c r="B63" s="38"/>
      <c r="C63" s="38"/>
      <c r="D63" s="39"/>
    </row>
    <row r="64" customFormat="false" ht="16.5" hidden="false" customHeight="false" outlineLevel="0" collapsed="false">
      <c r="A64" s="34"/>
      <c r="B64" s="35"/>
      <c r="C64" s="35"/>
      <c r="D64" s="36"/>
    </row>
    <row r="65" customFormat="false" ht="16.5" hidden="false" customHeight="false" outlineLevel="0" collapsed="false">
      <c r="A65" s="37"/>
      <c r="B65" s="38"/>
      <c r="C65" s="38"/>
      <c r="D65" s="39"/>
    </row>
    <row r="66" customFormat="false" ht="16.5" hidden="false" customHeight="false" outlineLevel="0" collapsed="false">
      <c r="A66" s="34"/>
      <c r="B66" s="35"/>
      <c r="C66" s="35"/>
      <c r="D66" s="36"/>
    </row>
    <row r="67" customFormat="false" ht="16.5" hidden="false" customHeight="false" outlineLevel="0" collapsed="false">
      <c r="A67" s="37"/>
      <c r="B67" s="38"/>
      <c r="C67" s="38"/>
      <c r="D67" s="39"/>
    </row>
    <row r="68" customFormat="false" ht="16.5" hidden="false" customHeight="false" outlineLevel="0" collapsed="false">
      <c r="A68" s="34"/>
      <c r="B68" s="35"/>
      <c r="C68" s="35"/>
      <c r="D68" s="36"/>
    </row>
    <row r="69" customFormat="false" ht="16.5" hidden="false" customHeight="false" outlineLevel="0" collapsed="false">
      <c r="A69" s="37"/>
      <c r="B69" s="38"/>
      <c r="C69" s="38"/>
      <c r="D69" s="39"/>
    </row>
    <row r="70" customFormat="false" ht="16.5" hidden="false" customHeight="false" outlineLevel="0" collapsed="false">
      <c r="A70" s="34"/>
      <c r="B70" s="35"/>
      <c r="C70" s="35"/>
      <c r="D70" s="36"/>
    </row>
    <row r="71" customFormat="false" ht="16.5" hidden="false" customHeight="false" outlineLevel="0" collapsed="false">
      <c r="A71" s="37"/>
      <c r="B71" s="38"/>
      <c r="C71" s="38"/>
      <c r="D71" s="39"/>
    </row>
    <row r="72" customFormat="false" ht="16.5" hidden="false" customHeight="false" outlineLevel="0" collapsed="false">
      <c r="A72" s="34"/>
      <c r="B72" s="35"/>
      <c r="C72" s="35"/>
      <c r="D72" s="36"/>
    </row>
    <row r="73" customFormat="false" ht="16.5" hidden="false" customHeight="false" outlineLevel="0" collapsed="false">
      <c r="A73" s="37"/>
      <c r="B73" s="38"/>
      <c r="C73" s="38"/>
      <c r="D73" s="39"/>
    </row>
    <row r="74" customFormat="false" ht="16.5" hidden="false" customHeight="false" outlineLevel="0" collapsed="false">
      <c r="A74" s="34"/>
      <c r="B74" s="35"/>
      <c r="C74" s="35"/>
      <c r="D74" s="36"/>
    </row>
    <row r="75" customFormat="false" ht="16.5" hidden="false" customHeight="false" outlineLevel="0" collapsed="false">
      <c r="A75" s="37"/>
      <c r="B75" s="38"/>
      <c r="C75" s="38"/>
      <c r="D75" s="39"/>
    </row>
    <row r="76" customFormat="false" ht="16.5" hidden="false" customHeight="false" outlineLevel="0" collapsed="false">
      <c r="A76" s="34"/>
      <c r="B76" s="35"/>
      <c r="C76" s="35"/>
      <c r="D76" s="36"/>
    </row>
    <row r="77" customFormat="false" ht="16.5" hidden="false" customHeight="false" outlineLevel="0" collapsed="false">
      <c r="A77" s="37"/>
      <c r="B77" s="38"/>
      <c r="C77" s="38"/>
      <c r="D77" s="39"/>
    </row>
    <row r="78" customFormat="false" ht="16.5" hidden="false" customHeight="false" outlineLevel="0" collapsed="false">
      <c r="A78" s="34"/>
      <c r="B78" s="35"/>
      <c r="C78" s="35"/>
      <c r="D78" s="36"/>
    </row>
    <row r="79" customFormat="false" ht="16.5" hidden="false" customHeight="false" outlineLevel="0" collapsed="false">
      <c r="A79" s="37"/>
      <c r="B79" s="38"/>
      <c r="C79" s="38"/>
      <c r="D79" s="39"/>
    </row>
    <row r="80" customFormat="false" ht="16.5" hidden="false" customHeight="false" outlineLevel="0" collapsed="false">
      <c r="A80" s="34"/>
      <c r="B80" s="35"/>
      <c r="C80" s="35"/>
      <c r="D80" s="36"/>
    </row>
    <row r="81" customFormat="false" ht="16.5" hidden="false" customHeight="false" outlineLevel="0" collapsed="false">
      <c r="A81" s="37"/>
      <c r="B81" s="38"/>
      <c r="C81" s="38"/>
      <c r="D81" s="39"/>
    </row>
    <row r="82" customFormat="false" ht="16.5" hidden="false" customHeight="false" outlineLevel="0" collapsed="false">
      <c r="A82" s="34"/>
      <c r="B82" s="35"/>
      <c r="C82" s="35"/>
      <c r="D82" s="36"/>
    </row>
    <row r="83" customFormat="false" ht="16.5" hidden="false" customHeight="false" outlineLevel="0" collapsed="false">
      <c r="A83" s="37"/>
      <c r="B83" s="38"/>
      <c r="C83" s="38"/>
      <c r="D83" s="39"/>
    </row>
    <row r="84" customFormat="false" ht="16.5" hidden="false" customHeight="false" outlineLevel="0" collapsed="false">
      <c r="A84" s="34"/>
      <c r="B84" s="35"/>
      <c r="C84" s="35"/>
      <c r="D84" s="36"/>
    </row>
    <row r="85" customFormat="false" ht="16.5" hidden="false" customHeight="false" outlineLevel="0" collapsed="false">
      <c r="A85" s="37"/>
      <c r="B85" s="38"/>
      <c r="C85" s="38"/>
      <c r="D85" s="39"/>
    </row>
    <row r="86" customFormat="false" ht="16.5" hidden="false" customHeight="false" outlineLevel="0" collapsed="false">
      <c r="A86" s="34"/>
      <c r="B86" s="35"/>
      <c r="C86" s="35"/>
      <c r="D86" s="36"/>
    </row>
    <row r="87" customFormat="false" ht="16.5" hidden="false" customHeight="false" outlineLevel="0" collapsed="false">
      <c r="A87" s="37"/>
      <c r="B87" s="38"/>
      <c r="C87" s="38"/>
      <c r="D87" s="39"/>
    </row>
    <row r="88" customFormat="false" ht="16.5" hidden="false" customHeight="false" outlineLevel="0" collapsed="false">
      <c r="A88" s="34"/>
      <c r="B88" s="35"/>
      <c r="C88" s="35"/>
      <c r="D88" s="36"/>
    </row>
    <row r="89" customFormat="false" ht="16.5" hidden="false" customHeight="false" outlineLevel="0" collapsed="false">
      <c r="A89" s="37"/>
      <c r="B89" s="38"/>
      <c r="C89" s="38"/>
      <c r="D89" s="39"/>
    </row>
    <row r="90" customFormat="false" ht="16.5" hidden="false" customHeight="false" outlineLevel="0" collapsed="false">
      <c r="A90" s="34"/>
      <c r="B90" s="35"/>
      <c r="C90" s="35"/>
      <c r="D90" s="36"/>
    </row>
    <row r="91" customFormat="false" ht="16.5" hidden="false" customHeight="false" outlineLevel="0" collapsed="false">
      <c r="A91" s="37"/>
      <c r="B91" s="38"/>
      <c r="C91" s="38"/>
      <c r="D91" s="39"/>
    </row>
    <row r="92" customFormat="false" ht="16.5" hidden="false" customHeight="false" outlineLevel="0" collapsed="false">
      <c r="A92" s="34"/>
      <c r="B92" s="35"/>
      <c r="C92" s="35"/>
      <c r="D92" s="36"/>
    </row>
    <row r="93" customFormat="false" ht="16.5" hidden="false" customHeight="false" outlineLevel="0" collapsed="false">
      <c r="A93" s="37"/>
      <c r="B93" s="38"/>
      <c r="C93" s="38"/>
      <c r="D93" s="39"/>
    </row>
    <row r="94" customFormat="false" ht="16.5" hidden="false" customHeight="false" outlineLevel="0" collapsed="false">
      <c r="A94" s="34"/>
      <c r="B94" s="35"/>
      <c r="C94" s="35"/>
      <c r="D94" s="36"/>
    </row>
    <row r="95" customFormat="false" ht="16.5" hidden="false" customHeight="false" outlineLevel="0" collapsed="false">
      <c r="A95" s="37"/>
      <c r="B95" s="38"/>
      <c r="C95" s="38"/>
      <c r="D95" s="39"/>
    </row>
    <row r="96" customFormat="false" ht="16.5" hidden="false" customHeight="false" outlineLevel="0" collapsed="false">
      <c r="A96" s="34"/>
      <c r="B96" s="35"/>
      <c r="C96" s="35"/>
      <c r="D96" s="36"/>
    </row>
    <row r="97" customFormat="false" ht="16.5" hidden="false" customHeight="false" outlineLevel="0" collapsed="false">
      <c r="A97" s="37"/>
      <c r="B97" s="38"/>
      <c r="C97" s="38"/>
      <c r="D97" s="39"/>
    </row>
    <row r="98" customFormat="false" ht="16.5" hidden="false" customHeight="false" outlineLevel="0" collapsed="false">
      <c r="A98" s="34"/>
      <c r="B98" s="35"/>
      <c r="C98" s="35"/>
      <c r="D98" s="36"/>
    </row>
    <row r="99" customFormat="false" ht="16.5" hidden="false" customHeight="false" outlineLevel="0" collapsed="false">
      <c r="A99" s="37"/>
      <c r="B99" s="38"/>
      <c r="C99" s="38"/>
      <c r="D99" s="39"/>
    </row>
    <row r="100" customFormat="false" ht="16.5" hidden="false" customHeight="false" outlineLevel="0" collapsed="false">
      <c r="A100" s="34"/>
      <c r="B100" s="35"/>
      <c r="C100" s="35"/>
      <c r="D100" s="36"/>
    </row>
    <row r="101" customFormat="false" ht="16.5" hidden="false" customHeight="false" outlineLevel="0" collapsed="false">
      <c r="A101" s="37"/>
      <c r="B101" s="38"/>
      <c r="C101" s="38"/>
      <c r="D101" s="39"/>
    </row>
    <row r="102" customFormat="false" ht="16.5" hidden="false" customHeight="false" outlineLevel="0" collapsed="false">
      <c r="A102" s="34"/>
      <c r="B102" s="35"/>
      <c r="C102" s="35"/>
      <c r="D102" s="36"/>
    </row>
    <row r="103" customFormat="false" ht="16.5" hidden="false" customHeight="false" outlineLevel="0" collapsed="false">
      <c r="A103" s="37"/>
      <c r="B103" s="38"/>
      <c r="C103" s="38"/>
      <c r="D103" s="39"/>
    </row>
    <row r="104" customFormat="false" ht="16.5" hidden="false" customHeight="false" outlineLevel="0" collapsed="false">
      <c r="A104" s="34"/>
      <c r="B104" s="35"/>
      <c r="C104" s="35"/>
      <c r="D104" s="36"/>
    </row>
    <row r="105" customFormat="false" ht="16.5" hidden="false" customHeight="false" outlineLevel="0" collapsed="false">
      <c r="A105" s="37"/>
      <c r="B105" s="38"/>
      <c r="C105" s="38"/>
      <c r="D105" s="39"/>
    </row>
    <row r="106" customFormat="false" ht="16.5" hidden="false" customHeight="false" outlineLevel="0" collapsed="false">
      <c r="A106" s="34"/>
      <c r="B106" s="35"/>
      <c r="C106" s="35"/>
      <c r="D106" s="36"/>
    </row>
    <row r="107" customFormat="false" ht="16.5" hidden="false" customHeight="false" outlineLevel="0" collapsed="false">
      <c r="A107" s="37"/>
      <c r="B107" s="38"/>
      <c r="C107" s="38"/>
      <c r="D107" s="39"/>
    </row>
    <row r="108" customFormat="false" ht="16.5" hidden="false" customHeight="false" outlineLevel="0" collapsed="false">
      <c r="A108" s="34"/>
      <c r="B108" s="35"/>
      <c r="C108" s="35"/>
      <c r="D108" s="36"/>
    </row>
    <row r="109" customFormat="false" ht="16.5" hidden="false" customHeight="false" outlineLevel="0" collapsed="false">
      <c r="A109" s="37"/>
      <c r="B109" s="38"/>
      <c r="C109" s="38"/>
      <c r="D109" s="39"/>
    </row>
    <row r="110" customFormat="false" ht="16.5" hidden="false" customHeight="false" outlineLevel="0" collapsed="false">
      <c r="A110" s="34"/>
      <c r="B110" s="35"/>
      <c r="C110" s="35"/>
      <c r="D110" s="36"/>
    </row>
    <row r="111" customFormat="false" ht="16.5" hidden="false" customHeight="false" outlineLevel="0" collapsed="false">
      <c r="A111" s="37"/>
      <c r="B111" s="38"/>
      <c r="C111" s="38"/>
      <c r="D111" s="39"/>
    </row>
    <row r="112" customFormat="false" ht="16.5" hidden="false" customHeight="false" outlineLevel="0" collapsed="false">
      <c r="A112" s="34"/>
      <c r="B112" s="35"/>
      <c r="C112" s="35"/>
      <c r="D112" s="36"/>
    </row>
    <row r="113" customFormat="false" ht="16.5" hidden="false" customHeight="false" outlineLevel="0" collapsed="false">
      <c r="A113" s="37"/>
      <c r="B113" s="38"/>
      <c r="C113" s="38"/>
      <c r="D113" s="39"/>
    </row>
    <row r="114" customFormat="false" ht="16.5" hidden="false" customHeight="false" outlineLevel="0" collapsed="false">
      <c r="A114" s="34"/>
      <c r="B114" s="35"/>
      <c r="C114" s="35"/>
      <c r="D114" s="36"/>
    </row>
    <row r="115" customFormat="false" ht="16.5" hidden="false" customHeight="false" outlineLevel="0" collapsed="false">
      <c r="A115" s="37"/>
      <c r="B115" s="38"/>
      <c r="C115" s="38"/>
      <c r="D115" s="39"/>
    </row>
    <row r="116" customFormat="false" ht="16.5" hidden="false" customHeight="false" outlineLevel="0" collapsed="false">
      <c r="A116" s="34"/>
      <c r="B116" s="35"/>
      <c r="C116" s="35"/>
      <c r="D116" s="36"/>
    </row>
    <row r="117" customFormat="false" ht="16.5" hidden="false" customHeight="false" outlineLevel="0" collapsed="false">
      <c r="A117" s="37"/>
      <c r="B117" s="38"/>
      <c r="C117" s="38"/>
      <c r="D117" s="39"/>
    </row>
    <row r="118" customFormat="false" ht="16.5" hidden="false" customHeight="false" outlineLevel="0" collapsed="false">
      <c r="A118" s="34"/>
      <c r="B118" s="35"/>
      <c r="C118" s="35"/>
      <c r="D118" s="36"/>
    </row>
    <row r="119" customFormat="false" ht="16.5" hidden="false" customHeight="false" outlineLevel="0" collapsed="false">
      <c r="A119" s="37"/>
      <c r="B119" s="38"/>
      <c r="C119" s="38"/>
      <c r="D119" s="39"/>
    </row>
    <row r="120" customFormat="false" ht="16.5" hidden="false" customHeight="false" outlineLevel="0" collapsed="false">
      <c r="A120" s="34"/>
      <c r="B120" s="35"/>
      <c r="C120" s="35"/>
      <c r="D120" s="36"/>
    </row>
    <row r="121" customFormat="false" ht="16.5" hidden="false" customHeight="false" outlineLevel="0" collapsed="false">
      <c r="A121" s="37"/>
      <c r="B121" s="38"/>
      <c r="C121" s="38"/>
      <c r="D121" s="39"/>
    </row>
    <row r="122" customFormat="false" ht="16.5" hidden="false" customHeight="false" outlineLevel="0" collapsed="false">
      <c r="A122" s="34"/>
      <c r="B122" s="35"/>
      <c r="C122" s="35"/>
      <c r="D122" s="36"/>
    </row>
    <row r="123" customFormat="false" ht="16.5" hidden="false" customHeight="false" outlineLevel="0" collapsed="false">
      <c r="A123" s="37"/>
      <c r="B123" s="38"/>
      <c r="C123" s="38"/>
      <c r="D123" s="39"/>
    </row>
    <row r="124" customFormat="false" ht="16.5" hidden="false" customHeight="false" outlineLevel="0" collapsed="false">
      <c r="A124" s="34"/>
      <c r="B124" s="35"/>
      <c r="C124" s="35"/>
      <c r="D124" s="36"/>
    </row>
    <row r="125" customFormat="false" ht="16.5" hidden="false" customHeight="false" outlineLevel="0" collapsed="false">
      <c r="A125" s="37"/>
      <c r="B125" s="38"/>
      <c r="C125" s="38"/>
      <c r="D125" s="39"/>
    </row>
    <row r="126" customFormat="false" ht="16.5" hidden="false" customHeight="false" outlineLevel="0" collapsed="false">
      <c r="A126" s="34"/>
      <c r="B126" s="35"/>
      <c r="C126" s="35"/>
      <c r="D126" s="36"/>
    </row>
    <row r="127" customFormat="false" ht="16.5" hidden="false" customHeight="false" outlineLevel="0" collapsed="false">
      <c r="A127" s="37"/>
      <c r="B127" s="38"/>
      <c r="C127" s="38"/>
      <c r="D127" s="39"/>
    </row>
    <row r="128" customFormat="false" ht="16.5" hidden="false" customHeight="false" outlineLevel="0" collapsed="false">
      <c r="A128" s="34"/>
      <c r="B128" s="35"/>
      <c r="C128" s="35"/>
      <c r="D128" s="36"/>
    </row>
    <row r="129" customFormat="false" ht="16.5" hidden="false" customHeight="false" outlineLevel="0" collapsed="false">
      <c r="A129" s="37"/>
      <c r="B129" s="38"/>
      <c r="C129" s="38"/>
      <c r="D129" s="39"/>
    </row>
    <row r="130" customFormat="false" ht="16.5" hidden="false" customHeight="false" outlineLevel="0" collapsed="false">
      <c r="A130" s="34"/>
      <c r="B130" s="35"/>
      <c r="C130" s="35"/>
      <c r="D130" s="36"/>
    </row>
    <row r="131" customFormat="false" ht="16.5" hidden="false" customHeight="false" outlineLevel="0" collapsed="false">
      <c r="A131" s="37"/>
      <c r="B131" s="38"/>
      <c r="C131" s="38"/>
      <c r="D131" s="39"/>
    </row>
    <row r="132" customFormat="false" ht="16.5" hidden="false" customHeight="false" outlineLevel="0" collapsed="false">
      <c r="A132" s="34"/>
      <c r="B132" s="35"/>
      <c r="C132" s="35"/>
      <c r="D132" s="36"/>
    </row>
    <row r="133" customFormat="false" ht="16.5" hidden="false" customHeight="false" outlineLevel="0" collapsed="false">
      <c r="A133" s="37"/>
      <c r="B133" s="38"/>
      <c r="C133" s="38"/>
      <c r="D133" s="39"/>
    </row>
    <row r="134" customFormat="false" ht="16.5" hidden="false" customHeight="false" outlineLevel="0" collapsed="false">
      <c r="A134" s="34"/>
      <c r="B134" s="35"/>
      <c r="C134" s="35"/>
      <c r="D134" s="36"/>
    </row>
    <row r="135" customFormat="false" ht="16.5" hidden="false" customHeight="false" outlineLevel="0" collapsed="false">
      <c r="A135" s="37"/>
      <c r="B135" s="38"/>
      <c r="C135" s="38"/>
      <c r="D135" s="39"/>
    </row>
    <row r="136" customFormat="false" ht="16.5" hidden="false" customHeight="false" outlineLevel="0" collapsed="false">
      <c r="A136" s="34"/>
      <c r="B136" s="35"/>
      <c r="C136" s="35"/>
      <c r="D136" s="36"/>
    </row>
    <row r="137" customFormat="false" ht="16.5" hidden="false" customHeight="false" outlineLevel="0" collapsed="false">
      <c r="A137" s="37"/>
      <c r="B137" s="38"/>
      <c r="C137" s="38"/>
      <c r="D137" s="39"/>
    </row>
    <row r="138" customFormat="false" ht="16.5" hidden="false" customHeight="false" outlineLevel="0" collapsed="false">
      <c r="A138" s="34"/>
      <c r="B138" s="35"/>
      <c r="C138" s="35"/>
      <c r="D138" s="36"/>
    </row>
    <row r="139" customFormat="false" ht="16.5" hidden="false" customHeight="false" outlineLevel="0" collapsed="false">
      <c r="A139" s="37"/>
      <c r="B139" s="38"/>
      <c r="C139" s="38"/>
      <c r="D139" s="39"/>
    </row>
    <row r="140" customFormat="false" ht="16.5" hidden="false" customHeight="false" outlineLevel="0" collapsed="false">
      <c r="A140" s="34"/>
      <c r="B140" s="35"/>
      <c r="C140" s="35"/>
      <c r="D140" s="36"/>
    </row>
    <row r="141" customFormat="false" ht="16.5" hidden="false" customHeight="false" outlineLevel="0" collapsed="false">
      <c r="A141" s="37"/>
      <c r="B141" s="38"/>
      <c r="C141" s="38"/>
      <c r="D141" s="39"/>
    </row>
    <row r="142" customFormat="false" ht="16.5" hidden="false" customHeight="false" outlineLevel="0" collapsed="false">
      <c r="A142" s="34"/>
      <c r="B142" s="35"/>
      <c r="C142" s="35"/>
      <c r="D142" s="36"/>
    </row>
    <row r="143" customFormat="false" ht="16.5" hidden="false" customHeight="false" outlineLevel="0" collapsed="false">
      <c r="A143" s="37"/>
      <c r="B143" s="38"/>
      <c r="C143" s="38"/>
      <c r="D143" s="39"/>
    </row>
    <row r="144" customFormat="false" ht="16.5" hidden="false" customHeight="false" outlineLevel="0" collapsed="false">
      <c r="A144" s="34"/>
      <c r="B144" s="35"/>
      <c r="C144" s="35"/>
      <c r="D144" s="36"/>
    </row>
    <row r="145" customFormat="false" ht="16.5" hidden="false" customHeight="false" outlineLevel="0" collapsed="false">
      <c r="A145" s="37"/>
      <c r="B145" s="38"/>
      <c r="C145" s="38"/>
      <c r="D145" s="39"/>
    </row>
    <row r="146" customFormat="false" ht="16.5" hidden="false" customHeight="false" outlineLevel="0" collapsed="false">
      <c r="A146" s="34"/>
      <c r="B146" s="35"/>
      <c r="C146" s="35"/>
      <c r="D146" s="36"/>
    </row>
    <row r="147" customFormat="false" ht="16.5" hidden="false" customHeight="false" outlineLevel="0" collapsed="false">
      <c r="A147" s="37"/>
      <c r="B147" s="38"/>
      <c r="C147" s="38"/>
      <c r="D147" s="39"/>
    </row>
    <row r="148" customFormat="false" ht="16.5" hidden="false" customHeight="false" outlineLevel="0" collapsed="false">
      <c r="A148" s="34"/>
      <c r="B148" s="35"/>
      <c r="C148" s="35"/>
      <c r="D148" s="36"/>
    </row>
    <row r="149" customFormat="false" ht="16.5" hidden="false" customHeight="false" outlineLevel="0" collapsed="false">
      <c r="A149" s="37"/>
      <c r="B149" s="38"/>
      <c r="C149" s="38"/>
      <c r="D149" s="39"/>
    </row>
    <row r="150" customFormat="false" ht="16.5" hidden="false" customHeight="false" outlineLevel="0" collapsed="false">
      <c r="A150" s="34"/>
      <c r="B150" s="35"/>
      <c r="C150" s="35"/>
      <c r="D150" s="36"/>
    </row>
    <row r="151" customFormat="false" ht="16.5" hidden="false" customHeight="false" outlineLevel="0" collapsed="false">
      <c r="A151" s="37"/>
      <c r="B151" s="38"/>
      <c r="C151" s="38"/>
      <c r="D151" s="39"/>
    </row>
    <row r="152" customFormat="false" ht="16.5" hidden="false" customHeight="false" outlineLevel="0" collapsed="false">
      <c r="A152" s="34"/>
      <c r="B152" s="35"/>
      <c r="C152" s="35"/>
      <c r="D152" s="36"/>
    </row>
    <row r="153" customFormat="false" ht="16.5" hidden="false" customHeight="false" outlineLevel="0" collapsed="false">
      <c r="A153" s="37"/>
      <c r="B153" s="38"/>
      <c r="C153" s="38"/>
      <c r="D153" s="39"/>
    </row>
    <row r="154" customFormat="false" ht="16.5" hidden="false" customHeight="false" outlineLevel="0" collapsed="false">
      <c r="A154" s="34"/>
      <c r="B154" s="35"/>
      <c r="C154" s="35"/>
      <c r="D154" s="36"/>
    </row>
    <row r="155" customFormat="false" ht="16.5" hidden="false" customHeight="false" outlineLevel="0" collapsed="false">
      <c r="A155" s="37"/>
      <c r="B155" s="38"/>
      <c r="C155" s="38"/>
      <c r="D155" s="39"/>
    </row>
    <row r="156" customFormat="false" ht="16.5" hidden="false" customHeight="false" outlineLevel="0" collapsed="false">
      <c r="A156" s="34"/>
      <c r="B156" s="35"/>
      <c r="C156" s="35"/>
      <c r="D156" s="36"/>
    </row>
    <row r="157" customFormat="false" ht="16.5" hidden="false" customHeight="false" outlineLevel="0" collapsed="false">
      <c r="A157" s="37"/>
      <c r="B157" s="38"/>
      <c r="C157" s="38"/>
      <c r="D157" s="39"/>
    </row>
    <row r="158" customFormat="false" ht="16.5" hidden="false" customHeight="false" outlineLevel="0" collapsed="false">
      <c r="A158" s="34"/>
      <c r="B158" s="35"/>
      <c r="C158" s="35"/>
      <c r="D158" s="36"/>
    </row>
    <row r="159" customFormat="false" ht="16.5" hidden="false" customHeight="false" outlineLevel="0" collapsed="false">
      <c r="A159" s="37"/>
      <c r="B159" s="38"/>
      <c r="C159" s="38"/>
      <c r="D159" s="39"/>
    </row>
    <row r="160" customFormat="false" ht="16.5" hidden="false" customHeight="false" outlineLevel="0" collapsed="false">
      <c r="A160" s="34"/>
      <c r="B160" s="35"/>
      <c r="C160" s="35"/>
      <c r="D160" s="36"/>
    </row>
    <row r="161" customFormat="false" ht="16.5" hidden="false" customHeight="false" outlineLevel="0" collapsed="false">
      <c r="A161" s="37"/>
      <c r="B161" s="38"/>
      <c r="C161" s="38"/>
      <c r="D161" s="39"/>
    </row>
    <row r="162" customFormat="false" ht="16.5" hidden="false" customHeight="false" outlineLevel="0" collapsed="false">
      <c r="A162" s="34"/>
      <c r="B162" s="35"/>
      <c r="C162" s="35"/>
      <c r="D162" s="36"/>
    </row>
    <row r="163" customFormat="false" ht="16.5" hidden="false" customHeight="false" outlineLevel="0" collapsed="false">
      <c r="A163" s="37"/>
      <c r="B163" s="38"/>
      <c r="C163" s="38"/>
      <c r="D163" s="39"/>
    </row>
    <row r="164" customFormat="false" ht="16.5" hidden="false" customHeight="false" outlineLevel="0" collapsed="false">
      <c r="A164" s="34"/>
      <c r="B164" s="35"/>
      <c r="C164" s="35"/>
      <c r="D164" s="36"/>
    </row>
    <row r="165" customFormat="false" ht="16.5" hidden="false" customHeight="false" outlineLevel="0" collapsed="false">
      <c r="A165" s="37"/>
      <c r="B165" s="38"/>
      <c r="C165" s="38"/>
      <c r="D165" s="39"/>
    </row>
    <row r="166" customFormat="false" ht="16.5" hidden="false" customHeight="false" outlineLevel="0" collapsed="false">
      <c r="A166" s="34"/>
      <c r="B166" s="35"/>
      <c r="C166" s="35"/>
      <c r="D166" s="36"/>
    </row>
    <row r="167" customFormat="false" ht="16.5" hidden="false" customHeight="false" outlineLevel="0" collapsed="false">
      <c r="A167" s="37"/>
      <c r="B167" s="38"/>
      <c r="C167" s="38"/>
      <c r="D167" s="39"/>
    </row>
    <row r="168" customFormat="false" ht="16.5" hidden="false" customHeight="false" outlineLevel="0" collapsed="false">
      <c r="A168" s="34"/>
      <c r="B168" s="35"/>
      <c r="C168" s="35"/>
      <c r="D168" s="36"/>
    </row>
    <row r="169" customFormat="false" ht="16.5" hidden="false" customHeight="false" outlineLevel="0" collapsed="false">
      <c r="A169" s="37"/>
      <c r="B169" s="38"/>
      <c r="C169" s="38"/>
      <c r="D169" s="39"/>
    </row>
    <row r="170" customFormat="false" ht="16.5" hidden="false" customHeight="false" outlineLevel="0" collapsed="false">
      <c r="A170" s="34"/>
      <c r="B170" s="35"/>
      <c r="C170" s="35"/>
      <c r="D170" s="36"/>
    </row>
    <row r="171" customFormat="false" ht="16.5" hidden="false" customHeight="false" outlineLevel="0" collapsed="false">
      <c r="A171" s="37"/>
      <c r="B171" s="38"/>
      <c r="C171" s="38"/>
      <c r="D171" s="39"/>
    </row>
    <row r="172" customFormat="false" ht="16.5" hidden="false" customHeight="false" outlineLevel="0" collapsed="false">
      <c r="A172" s="34"/>
      <c r="B172" s="35"/>
      <c r="C172" s="35"/>
      <c r="D172" s="36"/>
    </row>
    <row r="173" customFormat="false" ht="16.5" hidden="false" customHeight="false" outlineLevel="0" collapsed="false">
      <c r="A173" s="37"/>
      <c r="B173" s="38"/>
      <c r="C173" s="38"/>
      <c r="D173" s="39"/>
    </row>
    <row r="174" customFormat="false" ht="16.5" hidden="false" customHeight="false" outlineLevel="0" collapsed="false">
      <c r="A174" s="34"/>
      <c r="B174" s="35"/>
      <c r="C174" s="35"/>
      <c r="D174" s="36"/>
    </row>
    <row r="175" customFormat="false" ht="16.5" hidden="false" customHeight="false" outlineLevel="0" collapsed="false">
      <c r="A175" s="37"/>
      <c r="B175" s="38"/>
      <c r="C175" s="38"/>
      <c r="D175" s="39"/>
    </row>
    <row r="176" customFormat="false" ht="16.5" hidden="false" customHeight="false" outlineLevel="0" collapsed="false">
      <c r="A176" s="34"/>
      <c r="B176" s="35"/>
      <c r="C176" s="35"/>
      <c r="D176" s="36"/>
    </row>
    <row r="177" customFormat="false" ht="16.5" hidden="false" customHeight="false" outlineLevel="0" collapsed="false">
      <c r="A177" s="37"/>
      <c r="B177" s="38"/>
      <c r="C177" s="38"/>
      <c r="D177" s="39"/>
    </row>
    <row r="178" customFormat="false" ht="16.5" hidden="false" customHeight="false" outlineLevel="0" collapsed="false">
      <c r="A178" s="34"/>
      <c r="B178" s="35"/>
      <c r="C178" s="35"/>
      <c r="D178" s="36"/>
    </row>
    <row r="179" customFormat="false" ht="16.5" hidden="false" customHeight="false" outlineLevel="0" collapsed="false">
      <c r="A179" s="37"/>
      <c r="B179" s="38"/>
      <c r="C179" s="38"/>
      <c r="D179" s="39"/>
    </row>
    <row r="180" customFormat="false" ht="16.5" hidden="false" customHeight="false" outlineLevel="0" collapsed="false">
      <c r="A180" s="34"/>
      <c r="B180" s="35"/>
      <c r="C180" s="35"/>
      <c r="D180" s="36"/>
    </row>
    <row r="181" customFormat="false" ht="16.5" hidden="false" customHeight="false" outlineLevel="0" collapsed="false">
      <c r="A181" s="37"/>
      <c r="B181" s="38"/>
      <c r="C181" s="38"/>
      <c r="D181" s="39"/>
    </row>
    <row r="182" customFormat="false" ht="16.5" hidden="false" customHeight="false" outlineLevel="0" collapsed="false">
      <c r="A182" s="34"/>
      <c r="B182" s="35"/>
      <c r="C182" s="35"/>
      <c r="D182" s="36"/>
    </row>
    <row r="183" customFormat="false" ht="16.5" hidden="false" customHeight="false" outlineLevel="0" collapsed="false">
      <c r="A183" s="37"/>
      <c r="B183" s="38"/>
      <c r="C183" s="38"/>
      <c r="D183" s="39"/>
    </row>
    <row r="184" customFormat="false" ht="16.5" hidden="false" customHeight="false" outlineLevel="0" collapsed="false">
      <c r="A184" s="34"/>
      <c r="B184" s="35"/>
      <c r="C184" s="35"/>
      <c r="D184" s="36"/>
    </row>
    <row r="185" customFormat="false" ht="16.5" hidden="false" customHeight="false" outlineLevel="0" collapsed="false">
      <c r="A185" s="37"/>
      <c r="B185" s="38"/>
      <c r="C185" s="38"/>
      <c r="D185" s="39"/>
    </row>
    <row r="186" customFormat="false" ht="16.5" hidden="false" customHeight="false" outlineLevel="0" collapsed="false">
      <c r="A186" s="34"/>
      <c r="B186" s="35"/>
      <c r="C186" s="35"/>
      <c r="D186" s="36"/>
    </row>
    <row r="187" customFormat="false" ht="16.5" hidden="false" customHeight="false" outlineLevel="0" collapsed="false">
      <c r="A187" s="37"/>
      <c r="B187" s="38"/>
      <c r="C187" s="38"/>
      <c r="D187" s="39"/>
    </row>
    <row r="188" customFormat="false" ht="16.5" hidden="false" customHeight="false" outlineLevel="0" collapsed="false">
      <c r="A188" s="34"/>
      <c r="B188" s="35"/>
      <c r="C188" s="35"/>
      <c r="D188" s="36"/>
    </row>
    <row r="189" customFormat="false" ht="16.5" hidden="false" customHeight="false" outlineLevel="0" collapsed="false">
      <c r="A189" s="37"/>
      <c r="B189" s="38"/>
      <c r="C189" s="38"/>
      <c r="D189" s="39"/>
    </row>
    <row r="190" customFormat="false" ht="16.5" hidden="false" customHeight="false" outlineLevel="0" collapsed="false">
      <c r="A190" s="34"/>
      <c r="B190" s="35"/>
      <c r="C190" s="35"/>
      <c r="D190" s="36"/>
    </row>
    <row r="191" customFormat="false" ht="16.5" hidden="false" customHeight="false" outlineLevel="0" collapsed="false">
      <c r="A191" s="37"/>
      <c r="B191" s="38"/>
      <c r="C191" s="38"/>
      <c r="D191" s="39"/>
    </row>
    <row r="192" customFormat="false" ht="16.5" hidden="false" customHeight="false" outlineLevel="0" collapsed="false">
      <c r="A192" s="34"/>
      <c r="B192" s="35"/>
      <c r="C192" s="35"/>
      <c r="D192" s="36"/>
    </row>
    <row r="193" customFormat="false" ht="16.5" hidden="false" customHeight="false" outlineLevel="0" collapsed="false">
      <c r="A193" s="37"/>
      <c r="B193" s="38"/>
      <c r="C193" s="38"/>
      <c r="D193" s="39"/>
    </row>
    <row r="194" customFormat="false" ht="16.5" hidden="false" customHeight="false" outlineLevel="0" collapsed="false">
      <c r="A194" s="34"/>
      <c r="B194" s="35"/>
      <c r="C194" s="35"/>
      <c r="D194" s="36"/>
    </row>
    <row r="195" customFormat="false" ht="16.5" hidden="false" customHeight="false" outlineLevel="0" collapsed="false">
      <c r="A195" s="37"/>
      <c r="B195" s="38"/>
      <c r="C195" s="38"/>
      <c r="D195" s="39"/>
    </row>
    <row r="196" customFormat="false" ht="16.5" hidden="false" customHeight="false" outlineLevel="0" collapsed="false">
      <c r="A196" s="34"/>
      <c r="B196" s="35"/>
      <c r="C196" s="35"/>
      <c r="D196" s="36"/>
    </row>
    <row r="197" customFormat="false" ht="16.5" hidden="false" customHeight="false" outlineLevel="0" collapsed="false">
      <c r="A197" s="37"/>
      <c r="B197" s="38"/>
      <c r="C197" s="38"/>
      <c r="D197" s="39"/>
    </row>
    <row r="198" customFormat="false" ht="16.5" hidden="false" customHeight="false" outlineLevel="0" collapsed="false">
      <c r="A198" s="34"/>
      <c r="B198" s="35"/>
      <c r="C198" s="35"/>
      <c r="D198" s="36"/>
    </row>
    <row r="199" customFormat="false" ht="16.5" hidden="false" customHeight="false" outlineLevel="0" collapsed="false">
      <c r="A199" s="37"/>
      <c r="B199" s="38"/>
      <c r="C199" s="38"/>
      <c r="D199" s="39"/>
    </row>
    <row r="200" customFormat="false" ht="16.5" hidden="false" customHeight="false" outlineLevel="0" collapsed="false">
      <c r="A200" s="34"/>
      <c r="B200" s="35"/>
      <c r="C200" s="35"/>
      <c r="D200" s="36"/>
    </row>
    <row r="201" customFormat="false" ht="16.5" hidden="false" customHeight="false" outlineLevel="0" collapsed="false">
      <c r="A201" s="37"/>
      <c r="B201" s="38"/>
      <c r="C201" s="38"/>
      <c r="D201" s="39"/>
    </row>
    <row r="202" customFormat="false" ht="16.5" hidden="false" customHeight="false" outlineLevel="0" collapsed="false">
      <c r="A202" s="34"/>
      <c r="B202" s="35"/>
      <c r="C202" s="35"/>
      <c r="D202" s="36"/>
    </row>
    <row r="203" customFormat="false" ht="16.5" hidden="false" customHeight="false" outlineLevel="0" collapsed="false">
      <c r="A203" s="37"/>
      <c r="B203" s="38"/>
      <c r="C203" s="38"/>
      <c r="D203" s="39"/>
    </row>
    <row r="204" customFormat="false" ht="16.5" hidden="false" customHeight="false" outlineLevel="0" collapsed="false">
      <c r="A204" s="34"/>
      <c r="B204" s="35"/>
      <c r="C204" s="35"/>
      <c r="D204" s="36"/>
    </row>
    <row r="205" customFormat="false" ht="16.5" hidden="false" customHeight="false" outlineLevel="0" collapsed="false">
      <c r="A205" s="37"/>
      <c r="B205" s="38"/>
      <c r="C205" s="38"/>
      <c r="D205" s="39"/>
    </row>
    <row r="206" customFormat="false" ht="16.5" hidden="false" customHeight="false" outlineLevel="0" collapsed="false">
      <c r="A206" s="34"/>
      <c r="B206" s="35"/>
      <c r="C206" s="35"/>
      <c r="D206" s="36"/>
    </row>
    <row r="207" customFormat="false" ht="16.5" hidden="false" customHeight="false" outlineLevel="0" collapsed="false">
      <c r="A207" s="37"/>
      <c r="B207" s="38"/>
      <c r="C207" s="38"/>
      <c r="D207" s="39"/>
    </row>
    <row r="208" customFormat="false" ht="16.5" hidden="false" customHeight="false" outlineLevel="0" collapsed="false">
      <c r="A208" s="34"/>
      <c r="B208" s="35"/>
      <c r="C208" s="35"/>
      <c r="D208" s="36"/>
    </row>
    <row r="209" customFormat="false" ht="16.5" hidden="false" customHeight="false" outlineLevel="0" collapsed="false">
      <c r="A209" s="37"/>
      <c r="B209" s="38"/>
      <c r="C209" s="38"/>
      <c r="D209" s="39"/>
    </row>
    <row r="210" customFormat="false" ht="16.5" hidden="false" customHeight="false" outlineLevel="0" collapsed="false">
      <c r="A210" s="34"/>
      <c r="B210" s="35"/>
      <c r="C210" s="35"/>
      <c r="D210" s="36"/>
    </row>
    <row r="211" customFormat="false" ht="16.5" hidden="false" customHeight="false" outlineLevel="0" collapsed="false">
      <c r="A211" s="37"/>
      <c r="B211" s="38"/>
      <c r="C211" s="38"/>
      <c r="D211" s="39"/>
    </row>
    <row r="212" customFormat="false" ht="16.5" hidden="false" customHeight="false" outlineLevel="0" collapsed="false">
      <c r="A212" s="34"/>
      <c r="B212" s="35"/>
      <c r="C212" s="35"/>
      <c r="D212" s="36"/>
    </row>
    <row r="213" customFormat="false" ht="16.5" hidden="false" customHeight="false" outlineLevel="0" collapsed="false">
      <c r="A213" s="37"/>
      <c r="B213" s="38"/>
      <c r="C213" s="38"/>
      <c r="D213" s="39"/>
    </row>
    <row r="214" customFormat="false" ht="16.5" hidden="false" customHeight="false" outlineLevel="0" collapsed="false">
      <c r="A214" s="34"/>
      <c r="B214" s="35"/>
      <c r="C214" s="35"/>
      <c r="D214" s="36"/>
    </row>
    <row r="215" customFormat="false" ht="16.5" hidden="false" customHeight="false" outlineLevel="0" collapsed="false">
      <c r="A215" s="37"/>
      <c r="B215" s="38"/>
      <c r="C215" s="38"/>
      <c r="D215" s="39"/>
    </row>
    <row r="216" customFormat="false" ht="16.5" hidden="false" customHeight="false" outlineLevel="0" collapsed="false">
      <c r="A216" s="34"/>
      <c r="B216" s="35"/>
      <c r="C216" s="35"/>
      <c r="D216" s="36"/>
    </row>
    <row r="217" customFormat="false" ht="16.5" hidden="false" customHeight="false" outlineLevel="0" collapsed="false">
      <c r="A217" s="37"/>
      <c r="B217" s="38"/>
      <c r="C217" s="38"/>
      <c r="D217" s="39"/>
    </row>
    <row r="218" customFormat="false" ht="16.5" hidden="false" customHeight="false" outlineLevel="0" collapsed="false">
      <c r="A218" s="34"/>
      <c r="B218" s="35"/>
      <c r="C218" s="35"/>
      <c r="D218" s="36"/>
    </row>
    <row r="219" customFormat="false" ht="16.5" hidden="false" customHeight="false" outlineLevel="0" collapsed="false">
      <c r="A219" s="37"/>
      <c r="B219" s="38"/>
      <c r="C219" s="38"/>
      <c r="D219" s="39"/>
    </row>
    <row r="220" customFormat="false" ht="16.5" hidden="false" customHeight="false" outlineLevel="0" collapsed="false">
      <c r="A220" s="34"/>
      <c r="B220" s="35"/>
      <c r="C220" s="35"/>
      <c r="D220" s="36"/>
    </row>
    <row r="221" customFormat="false" ht="16.5" hidden="false" customHeight="false" outlineLevel="0" collapsed="false">
      <c r="A221" s="37"/>
      <c r="B221" s="38"/>
      <c r="C221" s="38"/>
      <c r="D221" s="39"/>
    </row>
    <row r="222" customFormat="false" ht="16.5" hidden="false" customHeight="false" outlineLevel="0" collapsed="false">
      <c r="A222" s="34"/>
      <c r="B222" s="35"/>
      <c r="C222" s="35"/>
      <c r="D222" s="36"/>
    </row>
    <row r="223" customFormat="false" ht="16.5" hidden="false" customHeight="false" outlineLevel="0" collapsed="false">
      <c r="A223" s="37"/>
      <c r="B223" s="38"/>
      <c r="C223" s="38"/>
      <c r="D223" s="39"/>
    </row>
    <row r="224" customFormat="false" ht="16.5" hidden="false" customHeight="false" outlineLevel="0" collapsed="false">
      <c r="A224" s="34"/>
      <c r="B224" s="35"/>
      <c r="C224" s="35"/>
      <c r="D224" s="36"/>
    </row>
    <row r="225" customFormat="false" ht="16.5" hidden="false" customHeight="false" outlineLevel="0" collapsed="false">
      <c r="A225" s="37"/>
      <c r="B225" s="38"/>
      <c r="C225" s="38"/>
      <c r="D225" s="39"/>
    </row>
    <row r="226" customFormat="false" ht="16.5" hidden="false" customHeight="false" outlineLevel="0" collapsed="false">
      <c r="A226" s="34"/>
      <c r="B226" s="35"/>
      <c r="C226" s="35"/>
      <c r="D226" s="36"/>
    </row>
    <row r="227" customFormat="false" ht="16.5" hidden="false" customHeight="false" outlineLevel="0" collapsed="false">
      <c r="A227" s="37"/>
      <c r="B227" s="38"/>
      <c r="C227" s="38"/>
      <c r="D227" s="39"/>
    </row>
    <row r="228" customFormat="false" ht="16.5" hidden="false" customHeight="false" outlineLevel="0" collapsed="false">
      <c r="A228" s="34"/>
      <c r="B228" s="35"/>
      <c r="C228" s="35"/>
      <c r="D228" s="36"/>
    </row>
    <row r="229" customFormat="false" ht="16.5" hidden="false" customHeight="false" outlineLevel="0" collapsed="false">
      <c r="A229" s="37"/>
      <c r="B229" s="38"/>
      <c r="C229" s="38"/>
      <c r="D229" s="39"/>
    </row>
    <row r="230" customFormat="false" ht="16.5" hidden="false" customHeight="false" outlineLevel="0" collapsed="false">
      <c r="A230" s="34"/>
      <c r="B230" s="35"/>
      <c r="C230" s="35"/>
      <c r="D230" s="36"/>
    </row>
    <row r="231" customFormat="false" ht="16.5" hidden="false" customHeight="false" outlineLevel="0" collapsed="false">
      <c r="A231" s="37"/>
      <c r="B231" s="38"/>
      <c r="C231" s="38"/>
      <c r="D231" s="39"/>
    </row>
    <row r="232" customFormat="false" ht="16.5" hidden="false" customHeight="false" outlineLevel="0" collapsed="false">
      <c r="A232" s="34"/>
      <c r="B232" s="35"/>
      <c r="C232" s="35"/>
      <c r="D232" s="36"/>
    </row>
    <row r="233" customFormat="false" ht="16.5" hidden="false" customHeight="false" outlineLevel="0" collapsed="false">
      <c r="A233" s="37"/>
      <c r="B233" s="38"/>
      <c r="C233" s="38"/>
      <c r="D233" s="39"/>
    </row>
    <row r="234" customFormat="false" ht="16.5" hidden="false" customHeight="false" outlineLevel="0" collapsed="false">
      <c r="A234" s="34"/>
      <c r="B234" s="35"/>
      <c r="C234" s="35"/>
      <c r="D234" s="36"/>
    </row>
    <row r="235" customFormat="false" ht="16.5" hidden="false" customHeight="false" outlineLevel="0" collapsed="false">
      <c r="A235" s="37"/>
      <c r="B235" s="38"/>
      <c r="C235" s="38"/>
      <c r="D235" s="39"/>
    </row>
    <row r="236" customFormat="false" ht="16.5" hidden="false" customHeight="false" outlineLevel="0" collapsed="false">
      <c r="A236" s="34"/>
      <c r="B236" s="35"/>
      <c r="C236" s="35"/>
      <c r="D236" s="36"/>
    </row>
    <row r="237" customFormat="false" ht="16.5" hidden="false" customHeight="false" outlineLevel="0" collapsed="false">
      <c r="A237" s="37"/>
      <c r="B237" s="38"/>
      <c r="C237" s="38"/>
      <c r="D237" s="39"/>
    </row>
    <row r="238" customFormat="false" ht="16.5" hidden="false" customHeight="false" outlineLevel="0" collapsed="false">
      <c r="A238" s="34"/>
      <c r="B238" s="35"/>
      <c r="C238" s="35"/>
      <c r="D238" s="36"/>
    </row>
    <row r="239" customFormat="false" ht="16.5" hidden="false" customHeight="false" outlineLevel="0" collapsed="false">
      <c r="A239" s="37"/>
      <c r="B239" s="38"/>
      <c r="C239" s="38"/>
      <c r="D239" s="39"/>
    </row>
    <row r="240" customFormat="false" ht="16.5" hidden="false" customHeight="false" outlineLevel="0" collapsed="false">
      <c r="A240" s="34"/>
      <c r="B240" s="35"/>
      <c r="C240" s="35"/>
      <c r="D240" s="36"/>
    </row>
    <row r="241" customFormat="false" ht="16.5" hidden="false" customHeight="false" outlineLevel="0" collapsed="false">
      <c r="A241" s="37"/>
      <c r="B241" s="38"/>
      <c r="C241" s="38"/>
      <c r="D241" s="39"/>
    </row>
    <row r="242" customFormat="false" ht="16.5" hidden="false" customHeight="false" outlineLevel="0" collapsed="false">
      <c r="A242" s="34"/>
      <c r="B242" s="35"/>
      <c r="C242" s="35"/>
      <c r="D242" s="36"/>
    </row>
    <row r="243" customFormat="false" ht="16.5" hidden="false" customHeight="false" outlineLevel="0" collapsed="false">
      <c r="A243" s="37"/>
      <c r="B243" s="38"/>
      <c r="C243" s="38"/>
      <c r="D243" s="39"/>
    </row>
    <row r="244" customFormat="false" ht="16.5" hidden="false" customHeight="false" outlineLevel="0" collapsed="false">
      <c r="A244" s="34"/>
      <c r="B244" s="35"/>
      <c r="C244" s="35"/>
      <c r="D244" s="36"/>
    </row>
    <row r="245" customFormat="false" ht="16.5" hidden="false" customHeight="false" outlineLevel="0" collapsed="false">
      <c r="A245" s="37"/>
      <c r="B245" s="38"/>
      <c r="C245" s="38"/>
      <c r="D245" s="39"/>
    </row>
    <row r="246" customFormat="false" ht="16.5" hidden="false" customHeight="false" outlineLevel="0" collapsed="false">
      <c r="A246" s="34"/>
      <c r="B246" s="35"/>
      <c r="C246" s="35"/>
      <c r="D246" s="36"/>
    </row>
    <row r="247" customFormat="false" ht="16.5" hidden="false" customHeight="false" outlineLevel="0" collapsed="false">
      <c r="A247" s="37"/>
      <c r="B247" s="38"/>
      <c r="C247" s="38"/>
      <c r="D247" s="39"/>
    </row>
    <row r="248" customFormat="false" ht="16.5" hidden="false" customHeight="false" outlineLevel="0" collapsed="false">
      <c r="A248" s="34"/>
      <c r="B248" s="35"/>
      <c r="C248" s="35"/>
      <c r="D248" s="36"/>
    </row>
    <row r="249" customFormat="false" ht="16.5" hidden="false" customHeight="false" outlineLevel="0" collapsed="false">
      <c r="A249" s="37"/>
      <c r="B249" s="38"/>
      <c r="C249" s="38"/>
      <c r="D249" s="39"/>
    </row>
    <row r="250" customFormat="false" ht="16.5" hidden="false" customHeight="false" outlineLevel="0" collapsed="false">
      <c r="A250" s="34"/>
      <c r="B250" s="35"/>
      <c r="C250" s="35"/>
      <c r="D250" s="36"/>
    </row>
    <row r="251" customFormat="false" ht="16.5" hidden="false" customHeight="false" outlineLevel="0" collapsed="false">
      <c r="A251" s="37"/>
      <c r="B251" s="38"/>
      <c r="C251" s="38"/>
      <c r="D251" s="39"/>
    </row>
    <row r="252" customFormat="false" ht="16.5" hidden="false" customHeight="false" outlineLevel="0" collapsed="false">
      <c r="A252" s="34"/>
      <c r="B252" s="35"/>
      <c r="C252" s="35"/>
      <c r="D252" s="36"/>
    </row>
    <row r="253" customFormat="false" ht="16.5" hidden="false" customHeight="false" outlineLevel="0" collapsed="false">
      <c r="A253" s="37"/>
      <c r="B253" s="38"/>
      <c r="C253" s="38"/>
      <c r="D253" s="39"/>
    </row>
    <row r="254" customFormat="false" ht="16.5" hidden="false" customHeight="false" outlineLevel="0" collapsed="false">
      <c r="A254" s="34"/>
      <c r="B254" s="35"/>
      <c r="C254" s="35"/>
      <c r="D254" s="36"/>
    </row>
    <row r="255" customFormat="false" ht="16.5" hidden="false" customHeight="false" outlineLevel="0" collapsed="false">
      <c r="A255" s="37"/>
      <c r="B255" s="38"/>
      <c r="C255" s="38"/>
      <c r="D255" s="39"/>
    </row>
    <row r="256" customFormat="false" ht="16.5" hidden="false" customHeight="false" outlineLevel="0" collapsed="false">
      <c r="A256" s="34"/>
      <c r="B256" s="35"/>
      <c r="C256" s="35"/>
      <c r="D256" s="36"/>
    </row>
    <row r="257" customFormat="false" ht="16.5" hidden="false" customHeight="false" outlineLevel="0" collapsed="false">
      <c r="A257" s="37"/>
      <c r="B257" s="38"/>
      <c r="C257" s="38"/>
      <c r="D257" s="39"/>
    </row>
    <row r="258" customFormat="false" ht="16.5" hidden="false" customHeight="false" outlineLevel="0" collapsed="false">
      <c r="A258" s="34"/>
      <c r="B258" s="35"/>
      <c r="C258" s="35"/>
      <c r="D258" s="36"/>
    </row>
    <row r="259" customFormat="false" ht="16.5" hidden="false" customHeight="false" outlineLevel="0" collapsed="false">
      <c r="A259" s="37"/>
      <c r="B259" s="38"/>
      <c r="C259" s="38"/>
      <c r="D259" s="39"/>
    </row>
    <row r="260" customFormat="false" ht="16.5" hidden="false" customHeight="false" outlineLevel="0" collapsed="false">
      <c r="A260" s="34"/>
      <c r="B260" s="35"/>
      <c r="C260" s="35"/>
      <c r="D260" s="36"/>
    </row>
    <row r="261" customFormat="false" ht="16.5" hidden="false" customHeight="false" outlineLevel="0" collapsed="false">
      <c r="A261" s="37"/>
      <c r="B261" s="38"/>
      <c r="C261" s="38"/>
      <c r="D261" s="39"/>
    </row>
    <row r="262" customFormat="false" ht="16.5" hidden="false" customHeight="false" outlineLevel="0" collapsed="false">
      <c r="A262" s="34"/>
      <c r="B262" s="35"/>
      <c r="C262" s="35"/>
      <c r="D262" s="36"/>
    </row>
    <row r="263" customFormat="false" ht="16.5" hidden="false" customHeight="false" outlineLevel="0" collapsed="false">
      <c r="A263" s="37"/>
      <c r="B263" s="38"/>
      <c r="C263" s="38"/>
      <c r="D263" s="39"/>
    </row>
    <row r="264" customFormat="false" ht="16.5" hidden="false" customHeight="false" outlineLevel="0" collapsed="false">
      <c r="A264" s="34"/>
      <c r="B264" s="35"/>
      <c r="C264" s="35"/>
      <c r="D264" s="36"/>
    </row>
    <row r="265" customFormat="false" ht="16.5" hidden="false" customHeight="false" outlineLevel="0" collapsed="false">
      <c r="A265" s="37"/>
      <c r="B265" s="38"/>
      <c r="C265" s="38"/>
      <c r="D265" s="39"/>
    </row>
    <row r="266" customFormat="false" ht="16.5" hidden="false" customHeight="false" outlineLevel="0" collapsed="false">
      <c r="A266" s="34"/>
      <c r="B266" s="35"/>
      <c r="C266" s="35"/>
      <c r="D266" s="36"/>
    </row>
    <row r="267" customFormat="false" ht="16.5" hidden="false" customHeight="false" outlineLevel="0" collapsed="false">
      <c r="A267" s="37"/>
      <c r="B267" s="38"/>
      <c r="C267" s="38"/>
      <c r="D267" s="39"/>
    </row>
    <row r="268" customFormat="false" ht="16.5" hidden="false" customHeight="false" outlineLevel="0" collapsed="false">
      <c r="A268" s="34"/>
      <c r="B268" s="35"/>
      <c r="C268" s="35"/>
      <c r="D268" s="36"/>
    </row>
    <row r="269" customFormat="false" ht="16.5" hidden="false" customHeight="false" outlineLevel="0" collapsed="false">
      <c r="A269" s="37"/>
      <c r="B269" s="38"/>
      <c r="C269" s="38"/>
      <c r="D269" s="39"/>
    </row>
    <row r="270" customFormat="false" ht="16.5" hidden="false" customHeight="false" outlineLevel="0" collapsed="false">
      <c r="A270" s="34"/>
      <c r="B270" s="35"/>
      <c r="C270" s="35"/>
      <c r="D270" s="36"/>
    </row>
    <row r="271" customFormat="false" ht="16.5" hidden="false" customHeight="false" outlineLevel="0" collapsed="false">
      <c r="A271" s="37"/>
      <c r="B271" s="38"/>
      <c r="C271" s="38"/>
      <c r="D271" s="39"/>
    </row>
    <row r="272" customFormat="false" ht="16.5" hidden="false" customHeight="false" outlineLevel="0" collapsed="false">
      <c r="A272" s="34"/>
      <c r="B272" s="35"/>
      <c r="C272" s="35"/>
      <c r="D272" s="36"/>
    </row>
    <row r="273" customFormat="false" ht="16.5" hidden="false" customHeight="false" outlineLevel="0" collapsed="false">
      <c r="A273" s="37"/>
      <c r="B273" s="38"/>
      <c r="C273" s="38"/>
      <c r="D273" s="39"/>
    </row>
    <row r="274" customFormat="false" ht="16.5" hidden="false" customHeight="false" outlineLevel="0" collapsed="false">
      <c r="A274" s="34"/>
      <c r="B274" s="35"/>
      <c r="C274" s="35"/>
      <c r="D274" s="36"/>
    </row>
    <row r="275" customFormat="false" ht="16.5" hidden="false" customHeight="false" outlineLevel="0" collapsed="false">
      <c r="A275" s="37"/>
      <c r="B275" s="38"/>
      <c r="C275" s="38"/>
      <c r="D275" s="39"/>
    </row>
    <row r="276" customFormat="false" ht="16.5" hidden="false" customHeight="false" outlineLevel="0" collapsed="false">
      <c r="A276" s="34"/>
      <c r="B276" s="35"/>
      <c r="C276" s="35"/>
      <c r="D276" s="36"/>
    </row>
    <row r="277" customFormat="false" ht="16.5" hidden="false" customHeight="false" outlineLevel="0" collapsed="false">
      <c r="A277" s="37"/>
      <c r="B277" s="38"/>
      <c r="C277" s="38"/>
      <c r="D277" s="39"/>
    </row>
    <row r="278" customFormat="false" ht="16.5" hidden="false" customHeight="false" outlineLevel="0" collapsed="false">
      <c r="A278" s="34"/>
      <c r="B278" s="35"/>
      <c r="C278" s="35"/>
      <c r="D278" s="36"/>
    </row>
    <row r="279" customFormat="false" ht="16.5" hidden="false" customHeight="false" outlineLevel="0" collapsed="false">
      <c r="A279" s="37"/>
      <c r="B279" s="38"/>
      <c r="C279" s="38"/>
      <c r="D279" s="39"/>
    </row>
    <row r="280" customFormat="false" ht="16.5" hidden="false" customHeight="false" outlineLevel="0" collapsed="false">
      <c r="A280" s="34"/>
      <c r="B280" s="35"/>
      <c r="C280" s="35"/>
      <c r="D280" s="36"/>
    </row>
    <row r="281" customFormat="false" ht="16.5" hidden="false" customHeight="false" outlineLevel="0" collapsed="false">
      <c r="A281" s="37"/>
      <c r="B281" s="38"/>
      <c r="C281" s="38"/>
      <c r="D281" s="39"/>
    </row>
    <row r="282" customFormat="false" ht="16.5" hidden="false" customHeight="false" outlineLevel="0" collapsed="false">
      <c r="A282" s="34"/>
      <c r="B282" s="35"/>
      <c r="C282" s="35"/>
      <c r="D282" s="36"/>
    </row>
    <row r="283" customFormat="false" ht="16.5" hidden="false" customHeight="false" outlineLevel="0" collapsed="false">
      <c r="A283" s="37"/>
      <c r="B283" s="38"/>
      <c r="C283" s="38"/>
      <c r="D283" s="39"/>
    </row>
    <row r="284" customFormat="false" ht="16.5" hidden="false" customHeight="false" outlineLevel="0" collapsed="false">
      <c r="A284" s="34"/>
      <c r="B284" s="35"/>
      <c r="C284" s="35"/>
      <c r="D284" s="36"/>
    </row>
    <row r="285" customFormat="false" ht="16.5" hidden="false" customHeight="false" outlineLevel="0" collapsed="false">
      <c r="A285" s="37"/>
      <c r="B285" s="38"/>
      <c r="C285" s="38"/>
      <c r="D285" s="39"/>
    </row>
    <row r="286" customFormat="false" ht="16.5" hidden="false" customHeight="false" outlineLevel="0" collapsed="false">
      <c r="A286" s="34"/>
      <c r="B286" s="35"/>
      <c r="C286" s="35"/>
      <c r="D286" s="36"/>
    </row>
    <row r="287" customFormat="false" ht="16.5" hidden="false" customHeight="false" outlineLevel="0" collapsed="false">
      <c r="A287" s="37"/>
      <c r="B287" s="38"/>
      <c r="C287" s="38"/>
      <c r="D287" s="39"/>
    </row>
    <row r="288" customFormat="false" ht="16.5" hidden="false" customHeight="false" outlineLevel="0" collapsed="false">
      <c r="A288" s="34"/>
      <c r="B288" s="35"/>
      <c r="C288" s="35"/>
      <c r="D288" s="36"/>
    </row>
    <row r="289" customFormat="false" ht="16.5" hidden="false" customHeight="false" outlineLevel="0" collapsed="false">
      <c r="A289" s="37"/>
      <c r="B289" s="38"/>
      <c r="C289" s="38"/>
      <c r="D289" s="39"/>
    </row>
    <row r="290" customFormat="false" ht="16.5" hidden="false" customHeight="false" outlineLevel="0" collapsed="false">
      <c r="A290" s="34"/>
      <c r="B290" s="35"/>
      <c r="C290" s="35"/>
      <c r="D290" s="36"/>
    </row>
    <row r="291" customFormat="false" ht="16.5" hidden="false" customHeight="false" outlineLevel="0" collapsed="false">
      <c r="A291" s="37"/>
      <c r="B291" s="38"/>
      <c r="C291" s="38"/>
      <c r="D291" s="39"/>
    </row>
    <row r="292" customFormat="false" ht="16.5" hidden="false" customHeight="false" outlineLevel="0" collapsed="false">
      <c r="A292" s="34"/>
      <c r="B292" s="35"/>
      <c r="C292" s="35"/>
      <c r="D292" s="36"/>
    </row>
    <row r="293" customFormat="false" ht="16.5" hidden="false" customHeight="false" outlineLevel="0" collapsed="false">
      <c r="A293" s="37"/>
      <c r="B293" s="38"/>
      <c r="C293" s="38"/>
      <c r="D293" s="39"/>
    </row>
    <row r="294" customFormat="false" ht="16.5" hidden="false" customHeight="false" outlineLevel="0" collapsed="false">
      <c r="A294" s="34"/>
      <c r="B294" s="35"/>
      <c r="C294" s="35"/>
      <c r="D294" s="36"/>
    </row>
    <row r="295" customFormat="false" ht="16.5" hidden="false" customHeight="false" outlineLevel="0" collapsed="false">
      <c r="A295" s="37"/>
      <c r="B295" s="38"/>
      <c r="C295" s="38"/>
      <c r="D295" s="39"/>
    </row>
    <row r="296" customFormat="false" ht="16.5" hidden="false" customHeight="false" outlineLevel="0" collapsed="false">
      <c r="A296" s="34"/>
      <c r="B296" s="35"/>
      <c r="C296" s="35"/>
      <c r="D296" s="36"/>
    </row>
    <row r="297" customFormat="false" ht="16.5" hidden="false" customHeight="false" outlineLevel="0" collapsed="false">
      <c r="A297" s="37"/>
      <c r="B297" s="38"/>
      <c r="C297" s="38"/>
      <c r="D297" s="39"/>
    </row>
    <row r="298" customFormat="false" ht="16.5" hidden="false" customHeight="false" outlineLevel="0" collapsed="false">
      <c r="A298" s="34"/>
      <c r="B298" s="35"/>
      <c r="C298" s="35"/>
      <c r="D298" s="36"/>
    </row>
    <row r="299" customFormat="false" ht="16.5" hidden="false" customHeight="false" outlineLevel="0" collapsed="false">
      <c r="A299" s="37"/>
      <c r="B299" s="38"/>
      <c r="C299" s="38"/>
      <c r="D299" s="39"/>
    </row>
    <row r="300" customFormat="false" ht="16.5" hidden="false" customHeight="false" outlineLevel="0" collapsed="false">
      <c r="A300" s="34"/>
      <c r="B300" s="35"/>
      <c r="C300" s="35"/>
      <c r="D300" s="36"/>
    </row>
    <row r="301" customFormat="false" ht="16.5" hidden="false" customHeight="false" outlineLevel="0" collapsed="false">
      <c r="A301" s="37"/>
      <c r="B301" s="38"/>
      <c r="C301" s="38"/>
      <c r="D301" s="39"/>
    </row>
    <row r="302" customFormat="false" ht="16.5" hidden="false" customHeight="false" outlineLevel="0" collapsed="false">
      <c r="A302" s="34"/>
      <c r="B302" s="35"/>
      <c r="C302" s="35"/>
      <c r="D302" s="36"/>
    </row>
    <row r="303" customFormat="false" ht="16.5" hidden="false" customHeight="false" outlineLevel="0" collapsed="false">
      <c r="A303" s="37"/>
      <c r="B303" s="38"/>
      <c r="C303" s="38"/>
      <c r="D303" s="39"/>
    </row>
    <row r="304" customFormat="false" ht="16.5" hidden="false" customHeight="false" outlineLevel="0" collapsed="false">
      <c r="A304" s="34"/>
      <c r="B304" s="35"/>
      <c r="C304" s="35"/>
      <c r="D304" s="36"/>
    </row>
    <row r="305" customFormat="false" ht="16.5" hidden="false" customHeight="false" outlineLevel="0" collapsed="false">
      <c r="A305" s="37"/>
      <c r="B305" s="38"/>
      <c r="C305" s="38"/>
      <c r="D305" s="39"/>
    </row>
  </sheetData>
  <sheetProtection sheet="true" formatCells="false" formatColumns="false" formatRows="false" insertRows="false"/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6:C305" type="list">
      <formula1>CategoryList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3"/>
    <col collapsed="false" customWidth="true" hidden="false" outlineLevel="0" max="5" min="5" style="0" width="11"/>
    <col collapsed="false" customWidth="true" hidden="false" outlineLevel="0" max="6" min="6" style="0" width="4"/>
    <col collapsed="false" customWidth="true" hidden="false" outlineLevel="0" max="11" min="7" style="0" width="14"/>
    <col collapsed="false" customWidth="true" hidden="false" outlineLevel="0" max="12" min="12" style="0" width="6"/>
  </cols>
  <sheetData>
    <row r="1" customFormat="false" ht="25.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customFormat="false" ht="15.75" hidden="false" customHeight="true" outlineLevel="0" collapsed="false">
      <c r="A2" s="3" t="s">
        <v>101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6.5" hidden="false" customHeight="false" outlineLevel="0" collapsed="false">
      <c r="A4" s="8" t="s">
        <v>102</v>
      </c>
      <c r="B4" s="13" t="n">
        <v>8</v>
      </c>
      <c r="C4" s="8" t="s">
        <v>103</v>
      </c>
      <c r="D4" s="13" t="n">
        <v>2026</v>
      </c>
      <c r="E4" s="40" t="str">
        <f aca="false">CHOOSE($B$4,"January","February","March","April","May","June","July","August","September","October","November","December")&amp;" "&amp;$D$4</f>
        <v>August 2026</v>
      </c>
      <c r="F4" s="40"/>
      <c r="G4" s="40"/>
      <c r="H4" s="2"/>
      <c r="I4" s="2"/>
      <c r="J4" s="2"/>
      <c r="K4" s="2"/>
      <c r="L4" s="2"/>
      <c r="M4" s="2"/>
      <c r="N4" s="2"/>
      <c r="O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.75" hidden="false" customHeight="true" outlineLevel="0" collapsed="false">
      <c r="A6" s="41" t="s">
        <v>26</v>
      </c>
      <c r="B6" s="41"/>
      <c r="C6" s="41" t="s">
        <v>104</v>
      </c>
      <c r="D6" s="41"/>
      <c r="E6" s="41" t="s">
        <v>105</v>
      </c>
      <c r="F6" s="41"/>
      <c r="G6" s="41"/>
      <c r="H6" s="41" t="s">
        <v>106</v>
      </c>
      <c r="I6" s="41"/>
      <c r="J6" s="2"/>
      <c r="K6" s="2"/>
      <c r="L6" s="2"/>
      <c r="M6" s="2"/>
      <c r="N6" s="2"/>
      <c r="O6" s="2"/>
    </row>
    <row r="7" customFormat="false" ht="27.75" hidden="false" customHeight="true" outlineLevel="0" collapsed="false">
      <c r="A7" s="42" t="n">
        <f aca="false">SUM('Budget Setup'!$B$7:$B$10)</f>
        <v>4550</v>
      </c>
      <c r="B7" s="42"/>
      <c r="C7" s="42" t="n">
        <f aca="false">SUM('Budget Setup'!$B$15:$B$34)</f>
        <v>4455</v>
      </c>
      <c r="D7" s="42"/>
      <c r="E7" s="43" t="n">
        <f aca="false">SUMIFS(Transactions!$D$6:$D$305,Transactions!$A$6:$A$305,"&gt;="&amp;DATE($D$4,$B$4,1),Transactions!$A$6:$A$305,"&lt;"&amp;DATE($D$4,$B$4+1,1))</f>
        <v>1783.5</v>
      </c>
      <c r="F7" s="43"/>
      <c r="G7" s="43"/>
      <c r="H7" s="44" t="n">
        <f aca="false">C7-E7</f>
        <v>2671.5</v>
      </c>
      <c r="I7" s="44"/>
      <c r="J7" s="2"/>
      <c r="K7" s="2"/>
      <c r="L7" s="2"/>
      <c r="M7" s="2"/>
      <c r="N7" s="2"/>
      <c r="O7" s="2"/>
    </row>
    <row r="8" customFormat="false" ht="16.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6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6.5" hidden="false" customHeight="false" outlineLevel="0" collapsed="false">
      <c r="A10" s="6" t="s">
        <v>107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9.5" hidden="false" customHeight="true" outlineLevel="0" collapsed="false">
      <c r="A11" s="12" t="s">
        <v>33</v>
      </c>
      <c r="B11" s="12" t="s">
        <v>108</v>
      </c>
      <c r="C11" s="12" t="s">
        <v>109</v>
      </c>
      <c r="D11" s="12" t="s">
        <v>110</v>
      </c>
      <c r="E11" s="12" t="s">
        <v>111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6.5" hidden="false" customHeight="false" outlineLevel="0" collapsed="false">
      <c r="A12" s="45" t="str">
        <f aca="false">IF('Budget Setup'!A15="","",'Budget Setup'!A15)</f>
        <v>Housing</v>
      </c>
      <c r="B12" s="46" t="n">
        <f aca="false">IF($A12="","",'Budget Setup'!B15)</f>
        <v>1600</v>
      </c>
      <c r="C12" s="46" t="n">
        <f aca="false">IF($A12="","",SUMIFS(Transactions!$D$6:$D$305,Transactions!$C$6:$C$305,$A12,Transactions!$A$6:$A$305,"&gt;="&amp;DATE($D$4,$B$4,1),Transactions!$A$6:$A$305,"&lt;"&amp;DATE($D$4,$B$4+1,1)))</f>
        <v>1600</v>
      </c>
      <c r="D12" s="46" t="n">
        <f aca="false">IF($A12="","",$B12-$C12)</f>
        <v>0</v>
      </c>
      <c r="E12" s="47" t="n">
        <f aca="false">IF(OR($A12="",$B12=0),"",$C12/$B12)</f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6.5" hidden="false" customHeight="false" outlineLevel="0" collapsed="false">
      <c r="A13" s="45" t="str">
        <f aca="false">IF('Budget Setup'!A16="","",'Budget Setup'!A16)</f>
        <v>Groceries</v>
      </c>
      <c r="B13" s="46" t="n">
        <f aca="false">IF($A13="","",'Budget Setup'!B16)</f>
        <v>550</v>
      </c>
      <c r="C13" s="46" t="n">
        <f aca="false">IF($A13="","",SUMIFS(Transactions!$D$6:$D$305,Transactions!$C$6:$C$305,$A13,Transactions!$A$6:$A$305,"&gt;="&amp;DATE($D$4,$B$4,1),Transactions!$A$6:$A$305,"&lt;"&amp;DATE($D$4,$B$4+1,1)))</f>
        <v>84.2</v>
      </c>
      <c r="D13" s="46" t="n">
        <f aca="false">IF($A13="","",$B13-$C13)</f>
        <v>465.8</v>
      </c>
      <c r="E13" s="47" t="n">
        <f aca="false">IF(OR($A13="",$B13=0),"",$C13/$B13)</f>
        <v>0.153090909090909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6.5" hidden="false" customHeight="false" outlineLevel="0" collapsed="false">
      <c r="A14" s="45" t="str">
        <f aca="false">IF('Budget Setup'!A17="","",'Budget Setup'!A17)</f>
        <v>Dining out</v>
      </c>
      <c r="B14" s="46" t="n">
        <f aca="false">IF($A14="","",'Budget Setup'!B17)</f>
        <v>250</v>
      </c>
      <c r="C14" s="46" t="n">
        <f aca="false">IF($A14="","",SUMIFS(Transactions!$D$6:$D$305,Transactions!$C$6:$C$305,$A14,Transactions!$A$6:$A$305,"&gt;="&amp;DATE($D$4,$B$4,1),Transactions!$A$6:$A$305,"&lt;"&amp;DATE($D$4,$B$4+1,1)))</f>
        <v>56.8</v>
      </c>
      <c r="D14" s="46" t="n">
        <f aca="false">IF($A14="","",$B14-$C14)</f>
        <v>193.2</v>
      </c>
      <c r="E14" s="47" t="n">
        <f aca="false">IF(OR($A14="",$B14=0),"",$C14/$B14)</f>
        <v>0.2272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6.5" hidden="false" customHeight="false" outlineLevel="0" collapsed="false">
      <c r="A15" s="45" t="str">
        <f aca="false">IF('Budget Setup'!A18="","",'Budget Setup'!A18)</f>
        <v>Transport</v>
      </c>
      <c r="B15" s="46" t="n">
        <f aca="false">IF($A15="","",'Budget Setup'!B18)</f>
        <v>200</v>
      </c>
      <c r="C15" s="46" t="n">
        <f aca="false">IF($A15="","",SUMIFS(Transactions!$D$6:$D$305,Transactions!$C$6:$C$305,$A15,Transactions!$A$6:$A$305,"&gt;="&amp;DATE($D$4,$B$4,1),Transactions!$A$6:$A$305,"&lt;"&amp;DATE($D$4,$B$4+1,1)))</f>
        <v>42.5</v>
      </c>
      <c r="D15" s="46" t="n">
        <f aca="false">IF($A15="","",$B15-$C15)</f>
        <v>157.5</v>
      </c>
      <c r="E15" s="47" t="n">
        <f aca="false">IF(OR($A15="",$B15=0),"",$C15/$B15)</f>
        <v>0.2125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6.5" hidden="false" customHeight="false" outlineLevel="0" collapsed="false">
      <c r="A16" s="45" t="str">
        <f aca="false">IF('Budget Setup'!A19="","",'Budget Setup'!A19)</f>
        <v>Utilities</v>
      </c>
      <c r="B16" s="46" t="n">
        <f aca="false">IF($A16="","",'Budget Setup'!B19)</f>
        <v>180</v>
      </c>
      <c r="C16" s="46" t="n">
        <f aca="false">IF($A16="","",SUMIFS(Transactions!$D$6:$D$305,Transactions!$C$6:$C$305,$A16,Transactions!$A$6:$A$305,"&gt;="&amp;DATE($D$4,$B$4,1),Transactions!$A$6:$A$305,"&lt;"&amp;DATE($D$4,$B$4+1,1)))</f>
        <v>0</v>
      </c>
      <c r="D16" s="46" t="n">
        <f aca="false">IF($A16="","",$B16-$C16)</f>
        <v>180</v>
      </c>
      <c r="E16" s="47" t="n">
        <f aca="false">IF(OR($A16="",$B16=0),"",$C16/$B16)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6.5" hidden="false" customHeight="false" outlineLevel="0" collapsed="false">
      <c r="A17" s="45" t="str">
        <f aca="false">IF('Budget Setup'!A20="","",'Budget Setup'!A20)</f>
        <v>Phone &amp; internet</v>
      </c>
      <c r="B17" s="46" t="n">
        <f aca="false">IF($A17="","",'Budget Setup'!B20)</f>
        <v>95</v>
      </c>
      <c r="C17" s="46" t="n">
        <f aca="false">IF($A17="","",SUMIFS(Transactions!$D$6:$D$305,Transactions!$C$6:$C$305,$A17,Transactions!$A$6:$A$305,"&gt;="&amp;DATE($D$4,$B$4,1),Transactions!$A$6:$A$305,"&lt;"&amp;DATE($D$4,$B$4+1,1)))</f>
        <v>0</v>
      </c>
      <c r="D17" s="46" t="n">
        <f aca="false">IF($A17="","",$B17-$C17)</f>
        <v>95</v>
      </c>
      <c r="E17" s="47" t="n">
        <f aca="false">IF(OR($A17="",$B17=0),"",$C17/$B17)</f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6.5" hidden="false" customHeight="false" outlineLevel="0" collapsed="false">
      <c r="A18" s="45" t="str">
        <f aca="false">IF('Budget Setup'!A21="","",'Budget Setup'!A21)</f>
        <v>Insurance</v>
      </c>
      <c r="B18" s="46" t="n">
        <f aca="false">IF($A18="","",'Budget Setup'!B21)</f>
        <v>140</v>
      </c>
      <c r="C18" s="46" t="n">
        <f aca="false">IF($A18="","",SUMIFS(Transactions!$D$6:$D$305,Transactions!$C$6:$C$305,$A18,Transactions!$A$6:$A$305,"&gt;="&amp;DATE($D$4,$B$4,1),Transactions!$A$6:$A$305,"&lt;"&amp;DATE($D$4,$B$4+1,1)))</f>
        <v>0</v>
      </c>
      <c r="D18" s="46" t="n">
        <f aca="false">IF($A18="","",$B18-$C18)</f>
        <v>140</v>
      </c>
      <c r="E18" s="47" t="n">
        <f aca="false">IF(OR($A18="",$B18=0),"",$C18/$B18)</f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6.5" hidden="false" customHeight="false" outlineLevel="0" collapsed="false">
      <c r="A19" s="45" t="str">
        <f aca="false">IF('Budget Setup'!A22="","",'Budget Setup'!A22)</f>
        <v>Health &amp; fitness</v>
      </c>
      <c r="B19" s="46" t="n">
        <f aca="false">IF($A19="","",'Budget Setup'!B22)</f>
        <v>90</v>
      </c>
      <c r="C19" s="46" t="n">
        <f aca="false">IF($A19="","",SUMIFS(Transactions!$D$6:$D$305,Transactions!$C$6:$C$305,$A19,Transactions!$A$6:$A$305,"&gt;="&amp;DATE($D$4,$B$4,1),Transactions!$A$6:$A$305,"&lt;"&amp;DATE($D$4,$B$4+1,1)))</f>
        <v>0</v>
      </c>
      <c r="D19" s="46" t="n">
        <f aca="false">IF($A19="","",$B19-$C19)</f>
        <v>90</v>
      </c>
      <c r="E19" s="47" t="n">
        <f aca="false">IF(OR($A19="",$B19=0),"",$C19/$B19)</f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6.5" hidden="false" customHeight="false" outlineLevel="0" collapsed="false">
      <c r="A20" s="45" t="str">
        <f aca="false">IF('Budget Setup'!A23="","",'Budget Setup'!A23)</f>
        <v>Entertainment</v>
      </c>
      <c r="B20" s="46" t="n">
        <f aca="false">IF($A20="","",'Budget Setup'!B23)</f>
        <v>120</v>
      </c>
      <c r="C20" s="46" t="n">
        <f aca="false">IF($A20="","",SUMIFS(Transactions!$D$6:$D$305,Transactions!$C$6:$C$305,$A20,Transactions!$A$6:$A$305,"&gt;="&amp;DATE($D$4,$B$4,1),Transactions!$A$6:$A$305,"&lt;"&amp;DATE($D$4,$B$4+1,1)))</f>
        <v>0</v>
      </c>
      <c r="D20" s="46" t="n">
        <f aca="false">IF($A20="","",$B20-$C20)</f>
        <v>120</v>
      </c>
      <c r="E20" s="47" t="n">
        <f aca="false">IF(OR($A20="",$B20=0),"",$C20/$B20)</f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6.5" hidden="false" customHeight="false" outlineLevel="0" collapsed="false">
      <c r="A21" s="45" t="str">
        <f aca="false">IF('Budget Setup'!A24="","",'Budget Setup'!A24)</f>
        <v>Subscriptions</v>
      </c>
      <c r="B21" s="46" t="n">
        <f aca="false">IF($A21="","",'Budget Setup'!B24)</f>
        <v>60</v>
      </c>
      <c r="C21" s="46" t="n">
        <f aca="false">IF($A21="","",SUMIFS(Transactions!$D$6:$D$305,Transactions!$C$6:$C$305,$A21,Transactions!$A$6:$A$305,"&gt;="&amp;DATE($D$4,$B$4,1),Transactions!$A$6:$A$305,"&lt;"&amp;DATE($D$4,$B$4+1,1)))</f>
        <v>0</v>
      </c>
      <c r="D21" s="46" t="n">
        <f aca="false">IF($A21="","",$B21-$C21)</f>
        <v>60</v>
      </c>
      <c r="E21" s="47" t="n">
        <f aca="false">IF(OR($A21="",$B21=0),"",$C21/$B21)</f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6.5" hidden="false" customHeight="false" outlineLevel="0" collapsed="false">
      <c r="A22" s="45" t="str">
        <f aca="false">IF('Budget Setup'!A25="","",'Budget Setup'!A25)</f>
        <v>Shopping</v>
      </c>
      <c r="B22" s="46" t="n">
        <f aca="false">IF($A22="","",'Budget Setup'!B25)</f>
        <v>150</v>
      </c>
      <c r="C22" s="46" t="n">
        <f aca="false">IF($A22="","",SUMIFS(Transactions!$D$6:$D$305,Transactions!$C$6:$C$305,$A22,Transactions!$A$6:$A$305,"&gt;="&amp;DATE($D$4,$B$4,1),Transactions!$A$6:$A$305,"&lt;"&amp;DATE($D$4,$B$4+1,1)))</f>
        <v>0</v>
      </c>
      <c r="D22" s="46" t="n">
        <f aca="false">IF($A22="","",$B22-$C22)</f>
        <v>150</v>
      </c>
      <c r="E22" s="47" t="n">
        <f aca="false">IF(OR($A22="",$B22=0),"",$C22/$B22)</f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6.5" hidden="false" customHeight="false" outlineLevel="0" collapsed="false">
      <c r="A23" s="45" t="str">
        <f aca="false">IF('Budget Setup'!A26="","",'Budget Setup'!A26)</f>
        <v>Personal care</v>
      </c>
      <c r="B23" s="46" t="n">
        <f aca="false">IF($A23="","",'Budget Setup'!B26)</f>
        <v>70</v>
      </c>
      <c r="C23" s="46" t="n">
        <f aca="false">IF($A23="","",SUMIFS(Transactions!$D$6:$D$305,Transactions!$C$6:$C$305,$A23,Transactions!$A$6:$A$305,"&gt;="&amp;DATE($D$4,$B$4,1),Transactions!$A$6:$A$305,"&lt;"&amp;DATE($D$4,$B$4+1,1)))</f>
        <v>0</v>
      </c>
      <c r="D23" s="46" t="n">
        <f aca="false">IF($A23="","",$B23-$C23)</f>
        <v>70</v>
      </c>
      <c r="E23" s="47" t="n">
        <f aca="false">IF(OR($A23="",$B23=0),"",$C23/$B23)</f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6.5" hidden="false" customHeight="false" outlineLevel="0" collapsed="false">
      <c r="A24" s="45" t="str">
        <f aca="false">IF('Budget Setup'!A27="","",'Budget Setup'!A27)</f>
        <v>Savings &amp; investing</v>
      </c>
      <c r="B24" s="46" t="n">
        <f aca="false">IF($A24="","",'Budget Setup'!B27)</f>
        <v>500</v>
      </c>
      <c r="C24" s="46" t="n">
        <f aca="false">IF($A24="","",SUMIFS(Transactions!$D$6:$D$305,Transactions!$C$6:$C$305,$A24,Transactions!$A$6:$A$305,"&gt;="&amp;DATE($D$4,$B$4,1),Transactions!$A$6:$A$305,"&lt;"&amp;DATE($D$4,$B$4+1,1)))</f>
        <v>0</v>
      </c>
      <c r="D24" s="46" t="n">
        <f aca="false">IF($A24="","",$B24-$C24)</f>
        <v>500</v>
      </c>
      <c r="E24" s="47" t="n">
        <f aca="false">IF(OR($A24="",$B24=0),"",$C24/$B24)</f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6.5" hidden="false" customHeight="false" outlineLevel="0" collapsed="false">
      <c r="A25" s="45" t="str">
        <f aca="false">IF('Budget Setup'!A28="","",'Budget Setup'!A28)</f>
        <v>Debt payments</v>
      </c>
      <c r="B25" s="46" t="n">
        <f aca="false">IF($A25="","",'Budget Setup'!B28)</f>
        <v>300</v>
      </c>
      <c r="C25" s="46" t="n">
        <f aca="false">IF($A25="","",SUMIFS(Transactions!$D$6:$D$305,Transactions!$C$6:$C$305,$A25,Transactions!$A$6:$A$305,"&gt;="&amp;DATE($D$4,$B$4,1),Transactions!$A$6:$A$305,"&lt;"&amp;DATE($D$4,$B$4+1,1)))</f>
        <v>0</v>
      </c>
      <c r="D25" s="46" t="n">
        <f aca="false">IF($A25="","",$B25-$C25)</f>
        <v>300</v>
      </c>
      <c r="E25" s="47" t="n">
        <f aca="false">IF(OR($A25="",$B25=0),"",$C25/$B25)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6.5" hidden="false" customHeight="false" outlineLevel="0" collapsed="false">
      <c r="A26" s="45" t="str">
        <f aca="false">IF('Budget Setup'!A29="","",'Budget Setup'!A29)</f>
        <v>Everything else</v>
      </c>
      <c r="B26" s="46" t="n">
        <f aca="false">IF($A26="","",'Budget Setup'!B29)</f>
        <v>150</v>
      </c>
      <c r="C26" s="46" t="n">
        <f aca="false">IF($A26="","",SUMIFS(Transactions!$D$6:$D$305,Transactions!$C$6:$C$305,$A26,Transactions!$A$6:$A$305,"&gt;="&amp;DATE($D$4,$B$4,1),Transactions!$A$6:$A$305,"&lt;"&amp;DATE($D$4,$B$4+1,1)))</f>
        <v>0</v>
      </c>
      <c r="D26" s="46" t="n">
        <f aca="false">IF($A26="","",$B26-$C26)</f>
        <v>150</v>
      </c>
      <c r="E26" s="47" t="n">
        <f aca="false">IF(OR($A26="",$B26=0),"",$C26/$B26)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6.5" hidden="false" customHeight="false" outlineLevel="0" collapsed="false">
      <c r="A27" s="45" t="str">
        <f aca="false">IF('Budget Setup'!A30="","",'Budget Setup'!A30)</f>
        <v/>
      </c>
      <c r="B27" s="46" t="str">
        <f aca="false">IF($A27="","",'Budget Setup'!B30)</f>
        <v/>
      </c>
      <c r="C27" s="46" t="str">
        <f aca="false">IF($A27="","",SUMIFS(Transactions!$D$6:$D$305,Transactions!$C$6:$C$305,$A27,Transactions!$A$6:$A$305,"&gt;="&amp;DATE($D$4,$B$4,1),Transactions!$A$6:$A$305,"&lt;"&amp;DATE($D$4,$B$4+1,1)))</f>
        <v/>
      </c>
      <c r="D27" s="46" t="str">
        <f aca="false">IF($A27="","",$B27-$C27)</f>
        <v/>
      </c>
      <c r="E27" s="47" t="str">
        <f aca="false">IF(OR($A27="",$B27=0),"",$C27/$B27)</f>
        <v/>
      </c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6.5" hidden="false" customHeight="false" outlineLevel="0" collapsed="false">
      <c r="A28" s="45" t="str">
        <f aca="false">IF('Budget Setup'!A31="","",'Budget Setup'!A31)</f>
        <v/>
      </c>
      <c r="B28" s="46" t="str">
        <f aca="false">IF($A28="","",'Budget Setup'!B31)</f>
        <v/>
      </c>
      <c r="C28" s="46" t="str">
        <f aca="false">IF($A28="","",SUMIFS(Transactions!$D$6:$D$305,Transactions!$C$6:$C$305,$A28,Transactions!$A$6:$A$305,"&gt;="&amp;DATE($D$4,$B$4,1),Transactions!$A$6:$A$305,"&lt;"&amp;DATE($D$4,$B$4+1,1)))</f>
        <v/>
      </c>
      <c r="D28" s="46" t="str">
        <f aca="false">IF($A28="","",$B28-$C28)</f>
        <v/>
      </c>
      <c r="E28" s="47" t="str">
        <f aca="false">IF(OR($A28="",$B28=0),"",$C28/$B28)</f>
        <v/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6.5" hidden="false" customHeight="false" outlineLevel="0" collapsed="false">
      <c r="A29" s="45" t="str">
        <f aca="false">IF('Budget Setup'!A32="","",'Budget Setup'!A32)</f>
        <v/>
      </c>
      <c r="B29" s="46" t="str">
        <f aca="false">IF($A29="","",'Budget Setup'!B32)</f>
        <v/>
      </c>
      <c r="C29" s="46" t="str">
        <f aca="false">IF($A29="","",SUMIFS(Transactions!$D$6:$D$305,Transactions!$C$6:$C$305,$A29,Transactions!$A$6:$A$305,"&gt;="&amp;DATE($D$4,$B$4,1),Transactions!$A$6:$A$305,"&lt;"&amp;DATE($D$4,$B$4+1,1)))</f>
        <v/>
      </c>
      <c r="D29" s="46" t="str">
        <f aca="false">IF($A29="","",$B29-$C29)</f>
        <v/>
      </c>
      <c r="E29" s="47" t="str">
        <f aca="false">IF(OR($A29="",$B29=0),"",$C29/$B29)</f>
        <v/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6.5" hidden="false" customHeight="false" outlineLevel="0" collapsed="false">
      <c r="A30" s="45" t="str">
        <f aca="false">IF('Budget Setup'!A33="","",'Budget Setup'!A33)</f>
        <v/>
      </c>
      <c r="B30" s="46" t="str">
        <f aca="false">IF($A30="","",'Budget Setup'!B33)</f>
        <v/>
      </c>
      <c r="C30" s="46" t="str">
        <f aca="false">IF($A30="","",SUMIFS(Transactions!$D$6:$D$305,Transactions!$C$6:$C$305,$A30,Transactions!$A$6:$A$305,"&gt;="&amp;DATE($D$4,$B$4,1),Transactions!$A$6:$A$305,"&lt;"&amp;DATE($D$4,$B$4+1,1)))</f>
        <v/>
      </c>
      <c r="D30" s="46" t="str">
        <f aca="false">IF($A30="","",$B30-$C30)</f>
        <v/>
      </c>
      <c r="E30" s="47" t="str">
        <f aca="false">IF(OR($A30="",$B30=0),"",$C30/$B30)</f>
        <v/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6.5" hidden="false" customHeight="false" outlineLevel="0" collapsed="false">
      <c r="A31" s="45" t="str">
        <f aca="false">IF('Budget Setup'!A34="","",'Budget Setup'!A34)</f>
        <v/>
      </c>
      <c r="B31" s="46" t="str">
        <f aca="false">IF($A31="","",'Budget Setup'!B34)</f>
        <v/>
      </c>
      <c r="C31" s="46" t="str">
        <f aca="false">IF($A31="","",SUMIFS(Transactions!$D$6:$D$305,Transactions!$C$6:$C$305,$A31,Transactions!$A$6:$A$305,"&gt;="&amp;DATE($D$4,$B$4,1),Transactions!$A$6:$A$305,"&lt;"&amp;DATE($D$4,$B$4+1,1)))</f>
        <v/>
      </c>
      <c r="D31" s="46" t="str">
        <f aca="false">IF($A31="","",$B31-$C31)</f>
        <v/>
      </c>
      <c r="E31" s="47" t="str">
        <f aca="false">IF(OR($A31="",$B31=0),"",$C31/$B31)</f>
        <v/>
      </c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6.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6.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6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6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6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</sheetData>
  <sheetProtection sheet="true" formatCells="false" formatColumns="false" formatRows="false"/>
  <mergeCells count="11">
    <mergeCell ref="A1:N1"/>
    <mergeCell ref="A2:N2"/>
    <mergeCell ref="E4:G4"/>
    <mergeCell ref="A6:B6"/>
    <mergeCell ref="C6:D6"/>
    <mergeCell ref="E6:G6"/>
    <mergeCell ref="H6:I6"/>
    <mergeCell ref="A7:B7"/>
    <mergeCell ref="C7:D7"/>
    <mergeCell ref="E7:G7"/>
    <mergeCell ref="H7:I7"/>
  </mergeCells>
  <conditionalFormatting sqref="E12:E31">
    <cfRule type="cellIs" priority="2" operator="greaterThanOrEqual" aboveAverage="0" equalAverage="0" bottom="0" percent="0" rank="0" text="" dxfId="0">
      <formula>1</formula>
    </cfRule>
    <cfRule type="cellIs" priority="3" operator="greaterThanOrEqual" aboveAverage="0" equalAverage="0" bottom="0" percent="0" rank="0" text="" dxfId="1">
      <formula>0.8</formula>
    </cfRule>
    <cfRule type="dataBar" priority="4">
      <dataBar showValue="1" minLength="10" maxLength="90">
        <cfvo type="num" val="0"/>
        <cfvo type="num" val="1"/>
        <color rgb="FF2F9E6E"/>
      </dataBar>
      <extLst>
        <ext xmlns:x14="http://schemas.microsoft.com/office/spreadsheetml/2009/9/main" uri="{B025F937-C7B1-47D3-B67F-A62EFF666E3E}">
          <x14:id>{C896CE29-AA88-43B1-8A8E-DB9EEE85EBD7}</x14:id>
        </ext>
      </extLst>
    </cfRule>
  </conditionalFormatting>
  <dataValidations count="1">
    <dataValidation allowBlank="false" errorStyle="stop" operator="between" showDropDown="false" showErrorMessage="false" showInputMessage="false" sqref="B4" type="whole">
      <formula1>1</formula1>
      <formula2>12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96CE29-AA88-43B1-8A8E-DB9EEE85EBD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9E6E"/>
              <x14:axisColor rgb="FF000000"/>
            </x14:dataBar>
          </x14:cfRule>
          <xm:sqref>E12:E31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13" min="4" style="0" width="9.51"/>
    <col collapsed="false" customWidth="true" hidden="false" outlineLevel="0" max="14" min="14" style="0" width="11"/>
  </cols>
  <sheetData>
    <row r="1" customFormat="false" ht="25.5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customFormat="false" ht="15.75" hidden="false" customHeight="true" outlineLevel="0" collapsed="false">
      <c r="A2" s="3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6.5" hidden="false" customHeight="false" outlineLevel="0" collapsed="false">
      <c r="A4" s="8" t="s">
        <v>103</v>
      </c>
      <c r="B4" s="13" t="n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6.5" hidden="false" customHeight="false" outlineLevel="0" collapsed="false">
      <c r="A6" s="6" t="s">
        <v>114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9.5" hidden="false" customHeight="true" outlineLevel="0" collapsed="false">
      <c r="A7" s="12" t="s">
        <v>115</v>
      </c>
      <c r="B7" s="12" t="s">
        <v>109</v>
      </c>
      <c r="C7" s="12" t="s">
        <v>116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6.5" hidden="false" customHeight="false" outlineLevel="0" collapsed="false">
      <c r="A8" s="45" t="s">
        <v>117</v>
      </c>
      <c r="B8" s="46" t="n">
        <f aca="false">SUMIFS(Transactions!$D$6:$D$305,Transactions!$A$6:$A$305,"&gt;="&amp;DATE($B$4,1,1),Transactions!$A$6:$A$305,"&lt;"&amp;DATE($B$4,2,1))</f>
        <v>0</v>
      </c>
      <c r="C8" s="47" t="n">
        <f aca="false">IF('Budget Setup'!$B$36=0,"",$B8/'Budget Setup'!$B$36)</f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6.5" hidden="false" customHeight="false" outlineLevel="0" collapsed="false">
      <c r="A9" s="45" t="s">
        <v>118</v>
      </c>
      <c r="B9" s="46" t="n">
        <f aca="false">SUMIFS(Transactions!$D$6:$D$305,Transactions!$A$6:$A$305,"&gt;="&amp;DATE($B$4,2,1),Transactions!$A$6:$A$305,"&lt;"&amp;DATE($B$4,3,1))</f>
        <v>0</v>
      </c>
      <c r="C9" s="47" t="n">
        <f aca="false">IF('Budget Setup'!$B$36=0,"",$B9/'Budget Setup'!$B$36)</f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6.5" hidden="false" customHeight="false" outlineLevel="0" collapsed="false">
      <c r="A10" s="45" t="s">
        <v>119</v>
      </c>
      <c r="B10" s="46" t="n">
        <f aca="false">SUMIFS(Transactions!$D$6:$D$305,Transactions!$A$6:$A$305,"&gt;="&amp;DATE($B$4,3,1),Transactions!$A$6:$A$305,"&lt;"&amp;DATE($B$4,4,1))</f>
        <v>0</v>
      </c>
      <c r="C10" s="47" t="n">
        <f aca="false">IF('Budget Setup'!$B$36=0,"",$B10/'Budget Setup'!$B$36)</f>
        <v>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6.5" hidden="false" customHeight="false" outlineLevel="0" collapsed="false">
      <c r="A11" s="45" t="s">
        <v>120</v>
      </c>
      <c r="B11" s="46" t="n">
        <f aca="false">SUMIFS(Transactions!$D$6:$D$305,Transactions!$A$6:$A$305,"&gt;="&amp;DATE($B$4,4,1),Transactions!$A$6:$A$305,"&lt;"&amp;DATE($B$4,5,1))</f>
        <v>0</v>
      </c>
      <c r="C11" s="47" t="n">
        <f aca="false">IF('Budget Setup'!$B$36=0,"",$B11/'Budget Setup'!$B$36)</f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6.5" hidden="false" customHeight="false" outlineLevel="0" collapsed="false">
      <c r="A12" s="45" t="s">
        <v>121</v>
      </c>
      <c r="B12" s="46" t="n">
        <f aca="false">SUMIFS(Transactions!$D$6:$D$305,Transactions!$A$6:$A$305,"&gt;="&amp;DATE($B$4,5,1),Transactions!$A$6:$A$305,"&lt;"&amp;DATE($B$4,6,1))</f>
        <v>0</v>
      </c>
      <c r="C12" s="47" t="n">
        <f aca="false">IF('Budget Setup'!$B$36=0,"",$B12/'Budget Setup'!$B$36)</f>
        <v>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6.5" hidden="false" customHeight="false" outlineLevel="0" collapsed="false">
      <c r="A13" s="45" t="s">
        <v>122</v>
      </c>
      <c r="B13" s="46" t="n">
        <f aca="false">SUMIFS(Transactions!$D$6:$D$305,Transactions!$A$6:$A$305,"&gt;="&amp;DATE($B$4,6,1),Transactions!$A$6:$A$305,"&lt;"&amp;DATE($B$4,7,1))</f>
        <v>0</v>
      </c>
      <c r="C13" s="47" t="n">
        <f aca="false">IF('Budget Setup'!$B$36=0,"",$B13/'Budget Setup'!$B$36)</f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6.5" hidden="false" customHeight="false" outlineLevel="0" collapsed="false">
      <c r="A14" s="45" t="s">
        <v>123</v>
      </c>
      <c r="B14" s="46" t="n">
        <f aca="false">SUMIFS(Transactions!$D$6:$D$305,Transactions!$A$6:$A$305,"&gt;="&amp;DATE($B$4,7,1),Transactions!$A$6:$A$305,"&lt;"&amp;DATE($B$4,8,1))</f>
        <v>1873.5</v>
      </c>
      <c r="C14" s="47" t="n">
        <f aca="false">IF('Budget Setup'!$B$36=0,"",$B14/'Budget Setup'!$B$36)</f>
        <v>0.420538720538721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6.5" hidden="false" customHeight="false" outlineLevel="0" collapsed="false">
      <c r="A15" s="45" t="s">
        <v>124</v>
      </c>
      <c r="B15" s="46" t="n">
        <f aca="false">SUMIFS(Transactions!$D$6:$D$305,Transactions!$A$6:$A$305,"&gt;="&amp;DATE($B$4,8,1),Transactions!$A$6:$A$305,"&lt;"&amp;DATE($B$4,9,1))</f>
        <v>1783.5</v>
      </c>
      <c r="C15" s="47" t="n">
        <f aca="false">IF('Budget Setup'!$B$36=0,"",$B15/'Budget Setup'!$B$36)</f>
        <v>0.4003367003367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6.5" hidden="false" customHeight="false" outlineLevel="0" collapsed="false">
      <c r="A16" s="45" t="s">
        <v>125</v>
      </c>
      <c r="B16" s="46" t="n">
        <f aca="false">SUMIFS(Transactions!$D$6:$D$305,Transactions!$A$6:$A$305,"&gt;="&amp;DATE($B$4,9,1),Transactions!$A$6:$A$305,"&lt;"&amp;DATE($B$4,10,1))</f>
        <v>0</v>
      </c>
      <c r="C16" s="47" t="n">
        <f aca="false">IF('Budget Setup'!$B$36=0,"",$B16/'Budget Setup'!$B$36)</f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6.5" hidden="false" customHeight="false" outlineLevel="0" collapsed="false">
      <c r="A17" s="45" t="s">
        <v>126</v>
      </c>
      <c r="B17" s="46" t="n">
        <f aca="false">SUMIFS(Transactions!$D$6:$D$305,Transactions!$A$6:$A$305,"&gt;="&amp;DATE($B$4,10,1),Transactions!$A$6:$A$305,"&lt;"&amp;DATE($B$4,11,1))</f>
        <v>0</v>
      </c>
      <c r="C17" s="47" t="n">
        <f aca="false">IF('Budget Setup'!$B$36=0,"",$B17/'Budget Setup'!$B$36)</f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6.5" hidden="false" customHeight="false" outlineLevel="0" collapsed="false">
      <c r="A18" s="45" t="s">
        <v>127</v>
      </c>
      <c r="B18" s="46" t="n">
        <f aca="false">SUMIFS(Transactions!$D$6:$D$305,Transactions!$A$6:$A$305,"&gt;="&amp;DATE($B$4,11,1),Transactions!$A$6:$A$305,"&lt;"&amp;DATE($B$4,12,1))</f>
        <v>0</v>
      </c>
      <c r="C18" s="47" t="n">
        <f aca="false">IF('Budget Setup'!$B$36=0,"",$B18/'Budget Setup'!$B$36)</f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6.5" hidden="false" customHeight="false" outlineLevel="0" collapsed="false">
      <c r="A19" s="45" t="s">
        <v>128</v>
      </c>
      <c r="B19" s="46" t="n">
        <f aca="false">SUMIFS(Transactions!$D$6:$D$305,Transactions!$A$6:$A$305,"&gt;="&amp;DATE($B$4,12,1),Transactions!$A$6:$A$305,"&lt;"&amp;DATE($B$4,13,1))</f>
        <v>0</v>
      </c>
      <c r="C19" s="47" t="n">
        <f aca="false">IF('Budget Setup'!$B$36=0,"",$B19/'Budget Setup'!$B$36)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6.5" hidden="false" customHeight="false" outlineLevel="0" collapsed="false">
      <c r="A20" s="16" t="s">
        <v>129</v>
      </c>
      <c r="B20" s="48" t="n">
        <f aca="false">SUM(B8:B19)</f>
        <v>3657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6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6.5" hidden="false" customHeight="false" outlineLevel="0" collapsed="false">
      <c r="A24" s="6" t="s">
        <v>130</v>
      </c>
      <c r="B24" s="2"/>
      <c r="C24" s="2"/>
      <c r="D24" s="2"/>
      <c r="E24" s="15" t="s">
        <v>131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9.5" hidden="false" customHeight="true" outlineLevel="0" collapsed="false">
      <c r="A25" s="12" t="s">
        <v>33</v>
      </c>
      <c r="B25" s="12" t="s">
        <v>117</v>
      </c>
      <c r="C25" s="12" t="s">
        <v>118</v>
      </c>
      <c r="D25" s="12" t="s">
        <v>119</v>
      </c>
      <c r="E25" s="12" t="s">
        <v>120</v>
      </c>
      <c r="F25" s="12" t="s">
        <v>121</v>
      </c>
      <c r="G25" s="12" t="s">
        <v>122</v>
      </c>
      <c r="H25" s="12" t="s">
        <v>123</v>
      </c>
      <c r="I25" s="12" t="s">
        <v>124</v>
      </c>
      <c r="J25" s="12" t="s">
        <v>125</v>
      </c>
      <c r="K25" s="12" t="s">
        <v>126</v>
      </c>
      <c r="L25" s="12" t="s">
        <v>127</v>
      </c>
      <c r="M25" s="12" t="s">
        <v>128</v>
      </c>
      <c r="N25" s="2"/>
      <c r="O25" s="2"/>
      <c r="P25" s="2"/>
    </row>
    <row r="26" customFormat="false" ht="16.5" hidden="false" customHeight="false" outlineLevel="0" collapsed="false">
      <c r="A26" s="49" t="str">
        <f aca="false">IF('Budget Setup'!A15="","",'Budget Setup'!A15)</f>
        <v>Housing</v>
      </c>
      <c r="B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C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D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E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F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G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H26" s="50" t="n">
        <f aca="false">IF($A26="","",SUMIFS(Transactions!$D$6:$D$305,Transactions!$C$6:$C$305,$A26,Transactions!$A$6:$A$305,"&gt;="&amp;DATE($B$4,COLUMN()-1,1),Transactions!$A$6:$A$305,"&lt;"&amp;DATE($B$4,COLUMN(),1)))</f>
        <v>1600</v>
      </c>
      <c r="I26" s="50" t="n">
        <f aca="false">IF($A26="","",SUMIFS(Transactions!$D$6:$D$305,Transactions!$C$6:$C$305,$A26,Transactions!$A$6:$A$305,"&gt;="&amp;DATE($B$4,COLUMN()-1,1),Transactions!$A$6:$A$305,"&lt;"&amp;DATE($B$4,COLUMN(),1)))</f>
        <v>1600</v>
      </c>
      <c r="J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K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L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M26" s="50" t="n">
        <f aca="false">IF($A26="","",SUMIFS(Transactions!$D$6:$D$305,Transactions!$C$6:$C$305,$A26,Transactions!$A$6:$A$305,"&gt;="&amp;DATE($B$4,COLUMN()-1,1),Transactions!$A$6:$A$305,"&lt;"&amp;DATE($B$4,COLUMN(),1)))</f>
        <v>0</v>
      </c>
      <c r="N26" s="2"/>
      <c r="O26" s="2"/>
      <c r="P26" s="2"/>
    </row>
    <row r="27" customFormat="false" ht="16.5" hidden="false" customHeight="false" outlineLevel="0" collapsed="false">
      <c r="A27" s="49" t="str">
        <f aca="false">IF('Budget Setup'!A16="","",'Budget Setup'!A16)</f>
        <v>Groceries</v>
      </c>
      <c r="B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C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D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E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F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G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H27" s="50" t="n">
        <f aca="false">IF($A27="","",SUMIFS(Transactions!$D$6:$D$305,Transactions!$C$6:$C$305,$A27,Transactions!$A$6:$A$305,"&gt;="&amp;DATE($B$4,COLUMN()-1,1),Transactions!$A$6:$A$305,"&lt;"&amp;DATE($B$4,COLUMN(),1)))</f>
        <v>184.5</v>
      </c>
      <c r="I27" s="50" t="n">
        <f aca="false">IF($A27="","",SUMIFS(Transactions!$D$6:$D$305,Transactions!$C$6:$C$305,$A27,Transactions!$A$6:$A$305,"&gt;="&amp;DATE($B$4,COLUMN()-1,1),Transactions!$A$6:$A$305,"&lt;"&amp;DATE($B$4,COLUMN(),1)))</f>
        <v>84.2</v>
      </c>
      <c r="J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K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L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M27" s="50" t="n">
        <f aca="false">IF($A27="","",SUMIFS(Transactions!$D$6:$D$305,Transactions!$C$6:$C$305,$A27,Transactions!$A$6:$A$305,"&gt;="&amp;DATE($B$4,COLUMN()-1,1),Transactions!$A$6:$A$305,"&lt;"&amp;DATE($B$4,COLUMN(),1)))</f>
        <v>0</v>
      </c>
      <c r="N27" s="2"/>
      <c r="O27" s="2"/>
      <c r="P27" s="2"/>
    </row>
    <row r="28" customFormat="false" ht="16.5" hidden="false" customHeight="false" outlineLevel="0" collapsed="false">
      <c r="A28" s="49" t="str">
        <f aca="false">IF('Budget Setup'!A17="","",'Budget Setup'!A17)</f>
        <v>Dining out</v>
      </c>
      <c r="B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C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D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E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F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G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H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I28" s="50" t="n">
        <f aca="false">IF($A28="","",SUMIFS(Transactions!$D$6:$D$305,Transactions!$C$6:$C$305,$A28,Transactions!$A$6:$A$305,"&gt;="&amp;DATE($B$4,COLUMN()-1,1),Transactions!$A$6:$A$305,"&lt;"&amp;DATE($B$4,COLUMN(),1)))</f>
        <v>56.8</v>
      </c>
      <c r="J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K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L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M28" s="50" t="n">
        <f aca="false">IF($A28="","",SUMIFS(Transactions!$D$6:$D$305,Transactions!$C$6:$C$305,$A28,Transactions!$A$6:$A$305,"&gt;="&amp;DATE($B$4,COLUMN()-1,1),Transactions!$A$6:$A$305,"&lt;"&amp;DATE($B$4,COLUMN(),1)))</f>
        <v>0</v>
      </c>
      <c r="N28" s="2"/>
      <c r="O28" s="2"/>
      <c r="P28" s="2"/>
    </row>
    <row r="29" customFormat="false" ht="16.5" hidden="false" customHeight="false" outlineLevel="0" collapsed="false">
      <c r="A29" s="49" t="str">
        <f aca="false">IF('Budget Setup'!A18="","",'Budget Setup'!A18)</f>
        <v>Transport</v>
      </c>
      <c r="B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C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D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E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F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G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H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I29" s="50" t="n">
        <f aca="false">IF($A29="","",SUMIFS(Transactions!$D$6:$D$305,Transactions!$C$6:$C$305,$A29,Transactions!$A$6:$A$305,"&gt;="&amp;DATE($B$4,COLUMN()-1,1),Transactions!$A$6:$A$305,"&lt;"&amp;DATE($B$4,COLUMN(),1)))</f>
        <v>42.5</v>
      </c>
      <c r="J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K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L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M29" s="50" t="n">
        <f aca="false">IF($A29="","",SUMIFS(Transactions!$D$6:$D$305,Transactions!$C$6:$C$305,$A29,Transactions!$A$6:$A$305,"&gt;="&amp;DATE($B$4,COLUMN()-1,1),Transactions!$A$6:$A$305,"&lt;"&amp;DATE($B$4,COLUMN(),1)))</f>
        <v>0</v>
      </c>
      <c r="N29" s="2"/>
      <c r="O29" s="2"/>
      <c r="P29" s="2"/>
    </row>
    <row r="30" customFormat="false" ht="16.5" hidden="false" customHeight="false" outlineLevel="0" collapsed="false">
      <c r="A30" s="49" t="str">
        <f aca="false">IF('Budget Setup'!A19="","",'Budget Setup'!A19)</f>
        <v>Utilities</v>
      </c>
      <c r="B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C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D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E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F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G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H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I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J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K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L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M30" s="50" t="n">
        <f aca="false">IF($A30="","",SUMIFS(Transactions!$D$6:$D$305,Transactions!$C$6:$C$305,$A30,Transactions!$A$6:$A$305,"&gt;="&amp;DATE($B$4,COLUMN()-1,1),Transactions!$A$6:$A$305,"&lt;"&amp;DATE($B$4,COLUMN(),1)))</f>
        <v>0</v>
      </c>
      <c r="N30" s="2"/>
      <c r="O30" s="2"/>
      <c r="P30" s="2"/>
    </row>
    <row r="31" customFormat="false" ht="16.5" hidden="false" customHeight="false" outlineLevel="0" collapsed="false">
      <c r="A31" s="49" t="str">
        <f aca="false">IF('Budget Setup'!A20="","",'Budget Setup'!A20)</f>
        <v>Phone &amp; internet</v>
      </c>
      <c r="B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C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D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E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F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G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H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I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J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K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L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M31" s="50" t="n">
        <f aca="false">IF($A31="","",SUMIFS(Transactions!$D$6:$D$305,Transactions!$C$6:$C$305,$A31,Transactions!$A$6:$A$305,"&gt;="&amp;DATE($B$4,COLUMN()-1,1),Transactions!$A$6:$A$305,"&lt;"&amp;DATE($B$4,COLUMN(),1)))</f>
        <v>0</v>
      </c>
      <c r="N31" s="2"/>
      <c r="O31" s="2"/>
      <c r="P31" s="2"/>
    </row>
    <row r="32" customFormat="false" ht="16.5" hidden="false" customHeight="false" outlineLevel="0" collapsed="false">
      <c r="A32" s="49" t="str">
        <f aca="false">IF('Budget Setup'!A21="","",'Budget Setup'!A21)</f>
        <v>Insurance</v>
      </c>
      <c r="B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C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D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E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F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G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H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I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J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K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L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M32" s="50" t="n">
        <f aca="false">IF($A32="","",SUMIFS(Transactions!$D$6:$D$305,Transactions!$C$6:$C$305,$A32,Transactions!$A$6:$A$305,"&gt;="&amp;DATE($B$4,COLUMN()-1,1),Transactions!$A$6:$A$305,"&lt;"&amp;DATE($B$4,COLUMN(),1)))</f>
        <v>0</v>
      </c>
      <c r="N32" s="2"/>
      <c r="O32" s="2"/>
      <c r="P32" s="2"/>
    </row>
    <row r="33" customFormat="false" ht="16.5" hidden="false" customHeight="false" outlineLevel="0" collapsed="false">
      <c r="A33" s="49" t="str">
        <f aca="false">IF('Budget Setup'!A22="","",'Budget Setup'!A22)</f>
        <v>Health &amp; fitness</v>
      </c>
      <c r="B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C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D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E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F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G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H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I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J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K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L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M33" s="50" t="n">
        <f aca="false">IF($A33="","",SUMIFS(Transactions!$D$6:$D$305,Transactions!$C$6:$C$305,$A33,Transactions!$A$6:$A$305,"&gt;="&amp;DATE($B$4,COLUMN()-1,1),Transactions!$A$6:$A$305,"&lt;"&amp;DATE($B$4,COLUMN(),1)))</f>
        <v>0</v>
      </c>
      <c r="N33" s="2"/>
      <c r="O33" s="2"/>
      <c r="P33" s="2"/>
    </row>
    <row r="34" customFormat="false" ht="16.5" hidden="false" customHeight="false" outlineLevel="0" collapsed="false">
      <c r="A34" s="49" t="str">
        <f aca="false">IF('Budget Setup'!A23="","",'Budget Setup'!A23)</f>
        <v>Entertainment</v>
      </c>
      <c r="B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C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D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E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F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G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H34" s="50" t="n">
        <f aca="false">IF($A34="","",SUMIFS(Transactions!$D$6:$D$305,Transactions!$C$6:$C$305,$A34,Transactions!$A$6:$A$305,"&gt;="&amp;DATE($B$4,COLUMN()-1,1),Transactions!$A$6:$A$305,"&lt;"&amp;DATE($B$4,COLUMN(),1)))</f>
        <v>89</v>
      </c>
      <c r="I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J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K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L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M34" s="50" t="n">
        <f aca="false">IF($A34="","",SUMIFS(Transactions!$D$6:$D$305,Transactions!$C$6:$C$305,$A34,Transactions!$A$6:$A$305,"&gt;="&amp;DATE($B$4,COLUMN()-1,1),Transactions!$A$6:$A$305,"&lt;"&amp;DATE($B$4,COLUMN(),1)))</f>
        <v>0</v>
      </c>
      <c r="N34" s="2"/>
      <c r="O34" s="2"/>
      <c r="P34" s="2"/>
    </row>
    <row r="35" customFormat="false" ht="16.5" hidden="false" customHeight="false" outlineLevel="0" collapsed="false">
      <c r="A35" s="49" t="str">
        <f aca="false">IF('Budget Setup'!A24="","",'Budget Setup'!A24)</f>
        <v>Subscriptions</v>
      </c>
      <c r="B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C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D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E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F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G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H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I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J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K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L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M35" s="50" t="n">
        <f aca="false">IF($A35="","",SUMIFS(Transactions!$D$6:$D$305,Transactions!$C$6:$C$305,$A35,Transactions!$A$6:$A$305,"&gt;="&amp;DATE($B$4,COLUMN()-1,1),Transactions!$A$6:$A$305,"&lt;"&amp;DATE($B$4,COLUMN(),1)))</f>
        <v>0</v>
      </c>
      <c r="N35" s="2"/>
      <c r="O35" s="2"/>
      <c r="P35" s="2"/>
    </row>
    <row r="36" customFormat="false" ht="16.5" hidden="false" customHeight="false" outlineLevel="0" collapsed="false">
      <c r="A36" s="49" t="str">
        <f aca="false">IF('Budget Setup'!A25="","",'Budget Setup'!A25)</f>
        <v>Shopping</v>
      </c>
      <c r="B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C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D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E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F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G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H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I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J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K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L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M36" s="50" t="n">
        <f aca="false">IF($A36="","",SUMIFS(Transactions!$D$6:$D$305,Transactions!$C$6:$C$305,$A36,Transactions!$A$6:$A$305,"&gt;="&amp;DATE($B$4,COLUMN()-1,1),Transactions!$A$6:$A$305,"&lt;"&amp;DATE($B$4,COLUMN(),1)))</f>
        <v>0</v>
      </c>
      <c r="N36" s="2"/>
      <c r="O36" s="2"/>
      <c r="P36" s="2"/>
    </row>
    <row r="37" customFormat="false" ht="16.5" hidden="false" customHeight="false" outlineLevel="0" collapsed="false">
      <c r="A37" s="49" t="str">
        <f aca="false">IF('Budget Setup'!A26="","",'Budget Setup'!A26)</f>
        <v>Personal care</v>
      </c>
      <c r="B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C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D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E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F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G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H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I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J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K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L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M37" s="50" t="n">
        <f aca="false">IF($A37="","",SUMIFS(Transactions!$D$6:$D$305,Transactions!$C$6:$C$305,$A37,Transactions!$A$6:$A$305,"&gt;="&amp;DATE($B$4,COLUMN()-1,1),Transactions!$A$6:$A$305,"&lt;"&amp;DATE($B$4,COLUMN(),1)))</f>
        <v>0</v>
      </c>
      <c r="N37" s="2"/>
      <c r="O37" s="2"/>
      <c r="P37" s="2"/>
    </row>
    <row r="38" customFormat="false" ht="16.5" hidden="false" customHeight="false" outlineLevel="0" collapsed="false">
      <c r="A38" s="49" t="str">
        <f aca="false">IF('Budget Setup'!A27="","",'Budget Setup'!A27)</f>
        <v>Savings &amp; investing</v>
      </c>
      <c r="B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C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D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E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F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G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H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I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J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K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L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M38" s="50" t="n">
        <f aca="false">IF($A38="","",SUMIFS(Transactions!$D$6:$D$305,Transactions!$C$6:$C$305,$A38,Transactions!$A$6:$A$305,"&gt;="&amp;DATE($B$4,COLUMN()-1,1),Transactions!$A$6:$A$305,"&lt;"&amp;DATE($B$4,COLUMN(),1)))</f>
        <v>0</v>
      </c>
      <c r="N38" s="2"/>
      <c r="O38" s="2"/>
      <c r="P38" s="2"/>
    </row>
    <row r="39" customFormat="false" ht="16.5" hidden="false" customHeight="false" outlineLevel="0" collapsed="false">
      <c r="A39" s="49" t="str">
        <f aca="false">IF('Budget Setup'!A28="","",'Budget Setup'!A28)</f>
        <v>Debt payments</v>
      </c>
      <c r="B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C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D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E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F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G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H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I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J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K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L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M39" s="50" t="n">
        <f aca="false">IF($A39="","",SUMIFS(Transactions!$D$6:$D$305,Transactions!$C$6:$C$305,$A39,Transactions!$A$6:$A$305,"&gt;="&amp;DATE($B$4,COLUMN()-1,1),Transactions!$A$6:$A$305,"&lt;"&amp;DATE($B$4,COLUMN(),1)))</f>
        <v>0</v>
      </c>
      <c r="N39" s="2"/>
      <c r="O39" s="2"/>
      <c r="P39" s="2"/>
    </row>
    <row r="40" customFormat="false" ht="16.5" hidden="false" customHeight="false" outlineLevel="0" collapsed="false">
      <c r="A40" s="49" t="str">
        <f aca="false">IF('Budget Setup'!A29="","",'Budget Setup'!A29)</f>
        <v>Everything else</v>
      </c>
      <c r="B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C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D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E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F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G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H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I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J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K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L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M40" s="50" t="n">
        <f aca="false">IF($A40="","",SUMIFS(Transactions!$D$6:$D$305,Transactions!$C$6:$C$305,$A40,Transactions!$A$6:$A$305,"&gt;="&amp;DATE($B$4,COLUMN()-1,1),Transactions!$A$6:$A$305,"&lt;"&amp;DATE($B$4,COLUMN(),1)))</f>
        <v>0</v>
      </c>
      <c r="N40" s="2"/>
      <c r="O40" s="2"/>
      <c r="P40" s="2"/>
    </row>
    <row r="41" customFormat="false" ht="16.5" hidden="false" customHeight="false" outlineLevel="0" collapsed="false">
      <c r="A41" s="49" t="str">
        <f aca="false">IF('Budget Setup'!A30="","",'Budget Setup'!A30)</f>
        <v/>
      </c>
      <c r="B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C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D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E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F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G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H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I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J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K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L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M41" s="50" t="str">
        <f aca="false">IF($A41="","",SUMIFS(Transactions!$D$6:$D$305,Transactions!$C$6:$C$305,$A41,Transactions!$A$6:$A$305,"&gt;="&amp;DATE($B$4,COLUMN()-1,1),Transactions!$A$6:$A$305,"&lt;"&amp;DATE($B$4,COLUMN(),1)))</f>
        <v/>
      </c>
      <c r="N41" s="2"/>
      <c r="O41" s="2"/>
      <c r="P41" s="2"/>
    </row>
    <row r="42" customFormat="false" ht="16.5" hidden="false" customHeight="false" outlineLevel="0" collapsed="false">
      <c r="A42" s="49" t="str">
        <f aca="false">IF('Budget Setup'!A31="","",'Budget Setup'!A31)</f>
        <v/>
      </c>
      <c r="B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C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D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E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F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G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H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I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J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K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L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M42" s="50" t="str">
        <f aca="false">IF($A42="","",SUMIFS(Transactions!$D$6:$D$305,Transactions!$C$6:$C$305,$A42,Transactions!$A$6:$A$305,"&gt;="&amp;DATE($B$4,COLUMN()-1,1),Transactions!$A$6:$A$305,"&lt;"&amp;DATE($B$4,COLUMN(),1)))</f>
        <v/>
      </c>
      <c r="N42" s="2"/>
      <c r="O42" s="2"/>
      <c r="P42" s="2"/>
    </row>
    <row r="43" customFormat="false" ht="16.5" hidden="false" customHeight="false" outlineLevel="0" collapsed="false">
      <c r="A43" s="49" t="str">
        <f aca="false">IF('Budget Setup'!A32="","",'Budget Setup'!A32)</f>
        <v/>
      </c>
      <c r="B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C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D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E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F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G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H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I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J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K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L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M43" s="50" t="str">
        <f aca="false">IF($A43="","",SUMIFS(Transactions!$D$6:$D$305,Transactions!$C$6:$C$305,$A43,Transactions!$A$6:$A$305,"&gt;="&amp;DATE($B$4,COLUMN()-1,1),Transactions!$A$6:$A$305,"&lt;"&amp;DATE($B$4,COLUMN(),1)))</f>
        <v/>
      </c>
      <c r="N43" s="2"/>
      <c r="O43" s="2"/>
      <c r="P43" s="2"/>
    </row>
    <row r="44" customFormat="false" ht="16.5" hidden="false" customHeight="false" outlineLevel="0" collapsed="false">
      <c r="A44" s="49" t="str">
        <f aca="false">IF('Budget Setup'!A33="","",'Budget Setup'!A33)</f>
        <v/>
      </c>
      <c r="B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C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D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E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F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G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H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I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J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K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L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M44" s="50" t="str">
        <f aca="false">IF($A44="","",SUMIFS(Transactions!$D$6:$D$305,Transactions!$C$6:$C$305,$A44,Transactions!$A$6:$A$305,"&gt;="&amp;DATE($B$4,COLUMN()-1,1),Transactions!$A$6:$A$305,"&lt;"&amp;DATE($B$4,COLUMN(),1)))</f>
        <v/>
      </c>
      <c r="N44" s="2"/>
      <c r="O44" s="2"/>
      <c r="P44" s="2"/>
    </row>
    <row r="45" customFormat="false" ht="16.5" hidden="false" customHeight="false" outlineLevel="0" collapsed="false">
      <c r="A45" s="49" t="str">
        <f aca="false">IF('Budget Setup'!A34="","",'Budget Setup'!A34)</f>
        <v/>
      </c>
      <c r="B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C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D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E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F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G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H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I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J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K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L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M45" s="50" t="str">
        <f aca="false">IF($A45="","",SUMIFS(Transactions!$D$6:$D$305,Transactions!$C$6:$C$305,$A45,Transactions!$A$6:$A$305,"&gt;="&amp;DATE($B$4,COLUMN()-1,1),Transactions!$A$6:$A$305,"&lt;"&amp;DATE($B$4,COLUMN(),1)))</f>
        <v/>
      </c>
      <c r="N45" s="2"/>
      <c r="O45" s="2"/>
      <c r="P45" s="2"/>
    </row>
    <row r="46" customFormat="false" ht="16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6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</sheetData>
  <sheetProtection sheet="true" formatCells="false" formatColumns="false" formatRows="false"/>
  <mergeCells count="2">
    <mergeCell ref="A1:N1"/>
    <mergeCell ref="A2:N2"/>
  </mergeCells>
  <conditionalFormatting sqref="B26:M45">
    <cfRule type="colorScale" priority="2">
      <colorScale>
        <cfvo type="num" val="0"/>
        <cfvo type="max" val="0"/>
        <color rgb="FFFFFFFF"/>
        <color rgb="FF2F9E6E"/>
      </colorScale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6"/>
  </cols>
  <sheetData>
    <row r="1" customFormat="false" ht="25.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2"/>
      <c r="I1" s="2"/>
    </row>
    <row r="2" customFormat="false" ht="15.75" hidden="false" customHeight="true" outlineLevel="0" collapsed="false">
      <c r="A2" s="3" t="s">
        <v>133</v>
      </c>
      <c r="B2" s="3"/>
      <c r="C2" s="3"/>
      <c r="D2" s="3"/>
      <c r="E2" s="3"/>
      <c r="F2" s="3"/>
      <c r="G2" s="3"/>
      <c r="H2" s="2"/>
      <c r="I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6.5" hidden="false" customHeight="false" outlineLevel="0" collapsed="false">
      <c r="A4" s="15" t="s">
        <v>134</v>
      </c>
      <c r="B4" s="2"/>
      <c r="C4" s="2"/>
      <c r="D4" s="2"/>
      <c r="E4" s="2"/>
      <c r="F4" s="2"/>
      <c r="G4" s="2"/>
      <c r="H4" s="2"/>
      <c r="I4" s="2"/>
    </row>
    <row r="5" customFormat="false" ht="19.5" hidden="false" customHeight="true" outlineLevel="0" collapsed="false">
      <c r="A5" s="12" t="s">
        <v>135</v>
      </c>
      <c r="B5" s="12" t="s">
        <v>136</v>
      </c>
      <c r="C5" s="12" t="s">
        <v>137</v>
      </c>
      <c r="D5" s="12" t="s">
        <v>138</v>
      </c>
      <c r="E5" s="12" t="s">
        <v>139</v>
      </c>
      <c r="F5" s="12" t="s">
        <v>140</v>
      </c>
      <c r="G5" s="12" t="s">
        <v>141</v>
      </c>
      <c r="H5" s="2"/>
      <c r="I5" s="2"/>
    </row>
    <row r="6" customFormat="false" ht="16.5" hidden="false" customHeight="false" outlineLevel="0" collapsed="false">
      <c r="A6" s="13" t="s">
        <v>142</v>
      </c>
      <c r="B6" s="14" t="n">
        <v>3000</v>
      </c>
      <c r="C6" s="14" t="n">
        <v>1150</v>
      </c>
      <c r="D6" s="51" t="n">
        <v>46387</v>
      </c>
      <c r="E6" s="52" t="n">
        <f aca="true">IF(OR($A6="",$D6=""),"",MAX(0,(YEAR($D6)-YEAR(TODAY()))*12+MONTH($D6)-MONTH(TODAY())))</f>
        <v>4</v>
      </c>
      <c r="F6" s="53" t="n">
        <f aca="false">IF(OR($A6="",$B6="",$D6=""),"",IF($E6=0,MAX(0,$B6-$C6),ROUND(MAX(0,$B6-$C6)/$E6,2)))</f>
        <v>462.5</v>
      </c>
      <c r="G6" s="47" t="n">
        <f aca="false">IF(OR($A6="",$B6="",$B6=0),"",MIN(1,$C6/$B6))</f>
        <v>0.383333333333333</v>
      </c>
      <c r="H6" s="2"/>
      <c r="I6" s="2"/>
    </row>
    <row r="7" customFormat="false" ht="16.5" hidden="false" customHeight="false" outlineLevel="0" collapsed="false">
      <c r="A7" s="13" t="s">
        <v>143</v>
      </c>
      <c r="B7" s="14" t="n">
        <v>2400</v>
      </c>
      <c r="C7" s="14" t="n">
        <v>600</v>
      </c>
      <c r="D7" s="51" t="n">
        <v>46568</v>
      </c>
      <c r="E7" s="52" t="n">
        <f aca="true">IF(OR($A7="",$D7=""),"",MAX(0,(YEAR($D7)-YEAR(TODAY()))*12+MONTH($D7)-MONTH(TODAY())))</f>
        <v>10</v>
      </c>
      <c r="F7" s="53" t="n">
        <f aca="false">IF(OR($A7="",$B7="",$D7=""),"",IF($E7=0,MAX(0,$B7-$C7),ROUND(MAX(0,$B7-$C7)/$E7,2)))</f>
        <v>180</v>
      </c>
      <c r="G7" s="47" t="n">
        <f aca="false">IF(OR($A7="",$B7="",$B7=0),"",MIN(1,$C7/$B7))</f>
        <v>0.25</v>
      </c>
      <c r="H7" s="2"/>
      <c r="I7" s="2"/>
    </row>
    <row r="8" customFormat="false" ht="16.5" hidden="false" customHeight="false" outlineLevel="0" collapsed="false">
      <c r="A8" s="13"/>
      <c r="B8" s="14"/>
      <c r="C8" s="14"/>
      <c r="D8" s="51"/>
      <c r="E8" s="52" t="str">
        <f aca="true">IF(OR($A8="",$D8=""),"",MAX(0,(YEAR($D8)-YEAR(TODAY()))*12+MONTH($D8)-MONTH(TODAY())))</f>
        <v/>
      </c>
      <c r="F8" s="53" t="str">
        <f aca="false">IF(OR($A8="",$B8="",$D8=""),"",IF($E8=0,MAX(0,$B8-$C8),ROUND(MAX(0,$B8-$C8)/$E8,2)))</f>
        <v/>
      </c>
      <c r="G8" s="47" t="str">
        <f aca="false">IF(OR($A8="",$B8="",$B8=0),"",MIN(1,$C8/$B8))</f>
        <v/>
      </c>
      <c r="H8" s="2"/>
      <c r="I8" s="2"/>
    </row>
    <row r="9" customFormat="false" ht="16.5" hidden="false" customHeight="false" outlineLevel="0" collapsed="false">
      <c r="A9" s="13"/>
      <c r="B9" s="14"/>
      <c r="C9" s="14"/>
      <c r="D9" s="51"/>
      <c r="E9" s="52" t="str">
        <f aca="true">IF(OR($A9="",$D9=""),"",MAX(0,(YEAR($D9)-YEAR(TODAY()))*12+MONTH($D9)-MONTH(TODAY())))</f>
        <v/>
      </c>
      <c r="F9" s="53" t="str">
        <f aca="false">IF(OR($A9="",$B9="",$D9=""),"",IF($E9=0,MAX(0,$B9-$C9),ROUND(MAX(0,$B9-$C9)/$E9,2)))</f>
        <v/>
      </c>
      <c r="G9" s="47" t="str">
        <f aca="false">IF(OR($A9="",$B9="",$B9=0),"",MIN(1,$C9/$B9))</f>
        <v/>
      </c>
      <c r="H9" s="2"/>
      <c r="I9" s="2"/>
    </row>
    <row r="10" customFormat="false" ht="16.5" hidden="false" customHeight="false" outlineLevel="0" collapsed="false">
      <c r="A10" s="13"/>
      <c r="B10" s="14"/>
      <c r="C10" s="14"/>
      <c r="D10" s="51"/>
      <c r="E10" s="52" t="str">
        <f aca="true">IF(OR($A10="",$D10=""),"",MAX(0,(YEAR($D10)-YEAR(TODAY()))*12+MONTH($D10)-MONTH(TODAY())))</f>
        <v/>
      </c>
      <c r="F10" s="53" t="str">
        <f aca="false">IF(OR($A10="",$B10="",$D10=""),"",IF($E10=0,MAX(0,$B10-$C10),ROUND(MAX(0,$B10-$C10)/$E10,2)))</f>
        <v/>
      </c>
      <c r="G10" s="47" t="str">
        <f aca="false">IF(OR($A10="",$B10="",$B10=0),"",MIN(1,$C10/$B10))</f>
        <v/>
      </c>
      <c r="H10" s="2"/>
      <c r="I10" s="2"/>
    </row>
    <row r="11" customFormat="false" ht="16.5" hidden="false" customHeight="false" outlineLevel="0" collapsed="false">
      <c r="A11" s="13"/>
      <c r="B11" s="14"/>
      <c r="C11" s="14"/>
      <c r="D11" s="51"/>
      <c r="E11" s="52" t="str">
        <f aca="true">IF(OR($A11="",$D11=""),"",MAX(0,(YEAR($D11)-YEAR(TODAY()))*12+MONTH($D11)-MONTH(TODAY())))</f>
        <v/>
      </c>
      <c r="F11" s="53" t="str">
        <f aca="false">IF(OR($A11="",$B11="",$D11=""),"",IF($E11=0,MAX(0,$B11-$C11),ROUND(MAX(0,$B11-$C11)/$E11,2)))</f>
        <v/>
      </c>
      <c r="G11" s="47" t="str">
        <f aca="false">IF(OR($A11="",$B11="",$B11=0),"",MIN(1,$C11/$B11))</f>
        <v/>
      </c>
      <c r="H11" s="2"/>
      <c r="I11" s="2"/>
    </row>
    <row r="12" customFormat="false" ht="16.5" hidden="false" customHeight="false" outlineLevel="0" collapsed="false">
      <c r="A12" s="13"/>
      <c r="B12" s="14"/>
      <c r="C12" s="14"/>
      <c r="D12" s="51"/>
      <c r="E12" s="52" t="str">
        <f aca="true">IF(OR($A12="",$D12=""),"",MAX(0,(YEAR($D12)-YEAR(TODAY()))*12+MONTH($D12)-MONTH(TODAY())))</f>
        <v/>
      </c>
      <c r="F12" s="53" t="str">
        <f aca="false">IF(OR($A12="",$B12="",$D12=""),"",IF($E12=0,MAX(0,$B12-$C12),ROUND(MAX(0,$B12-$C12)/$E12,2)))</f>
        <v/>
      </c>
      <c r="G12" s="47" t="str">
        <f aca="false">IF(OR($A12="",$B12="",$B12=0),"",MIN(1,$C12/$B12))</f>
        <v/>
      </c>
      <c r="H12" s="2"/>
      <c r="I12" s="2"/>
    </row>
    <row r="13" customFormat="false" ht="16.5" hidden="false" customHeight="false" outlineLevel="0" collapsed="false">
      <c r="A13" s="13"/>
      <c r="B13" s="14"/>
      <c r="C13" s="14"/>
      <c r="D13" s="51"/>
      <c r="E13" s="52" t="str">
        <f aca="true">IF(OR($A13="",$D13=""),"",MAX(0,(YEAR($D13)-YEAR(TODAY()))*12+MONTH($D13)-MONTH(TODAY())))</f>
        <v/>
      </c>
      <c r="F13" s="53" t="str">
        <f aca="false">IF(OR($A13="",$B13="",$D13=""),"",IF($E13=0,MAX(0,$B13-$C13),ROUND(MAX(0,$B13-$C13)/$E13,2)))</f>
        <v/>
      </c>
      <c r="G13" s="47" t="str">
        <f aca="false">IF(OR($A13="",$B13="",$B13=0),"",MIN(1,$C13/$B13))</f>
        <v/>
      </c>
      <c r="H13" s="2"/>
      <c r="I13" s="2"/>
    </row>
    <row r="14" customFormat="false" ht="16.5" hidden="false" customHeight="false" outlineLevel="0" collapsed="false">
      <c r="A14" s="13"/>
      <c r="B14" s="14"/>
      <c r="C14" s="14"/>
      <c r="D14" s="51"/>
      <c r="E14" s="52" t="str">
        <f aca="true">IF(OR($A14="",$D14=""),"",MAX(0,(YEAR($D14)-YEAR(TODAY()))*12+MONTH($D14)-MONTH(TODAY())))</f>
        <v/>
      </c>
      <c r="F14" s="53" t="str">
        <f aca="false">IF(OR($A14="",$B14="",$D14=""),"",IF($E14=0,MAX(0,$B14-$C14),ROUND(MAX(0,$B14-$C14)/$E14,2)))</f>
        <v/>
      </c>
      <c r="G14" s="47" t="str">
        <f aca="false">IF(OR($A14="",$B14="",$B14=0),"",MIN(1,$C14/$B14))</f>
        <v/>
      </c>
      <c r="H14" s="2"/>
      <c r="I14" s="2"/>
    </row>
    <row r="15" customFormat="false" ht="16.5" hidden="false" customHeight="false" outlineLevel="0" collapsed="false">
      <c r="A15" s="13"/>
      <c r="B15" s="14"/>
      <c r="C15" s="14"/>
      <c r="D15" s="51"/>
      <c r="E15" s="52" t="str">
        <f aca="true">IF(OR($A15="",$D15=""),"",MAX(0,(YEAR($D15)-YEAR(TODAY()))*12+MONTH($D15)-MONTH(TODAY())))</f>
        <v/>
      </c>
      <c r="F15" s="53" t="str">
        <f aca="false">IF(OR($A15="",$B15="",$D15=""),"",IF($E15=0,MAX(0,$B15-$C15),ROUND(MAX(0,$B15-$C15)/$E15,2)))</f>
        <v/>
      </c>
      <c r="G15" s="47" t="str">
        <f aca="false">IF(OR($A15="",$B15="",$B15=0),"",MIN(1,$C15/$B15))</f>
        <v/>
      </c>
      <c r="H15" s="2"/>
      <c r="I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6.5" hidden="false" customHeight="false" outlineLevel="0" collapsed="false">
      <c r="A17" s="16" t="s">
        <v>80</v>
      </c>
      <c r="B17" s="25" t="n">
        <f aca="false">SUM(B6:B15)</f>
        <v>5400</v>
      </c>
      <c r="C17" s="25" t="n">
        <f aca="false">SUM(C6:C15)</f>
        <v>1750</v>
      </c>
      <c r="D17" s="2"/>
      <c r="E17" s="2"/>
      <c r="F17" s="2"/>
      <c r="G17" s="2"/>
      <c r="H17" s="2"/>
      <c r="I17" s="2"/>
    </row>
    <row r="18" customFormat="false" ht="16.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6.5" hidden="false" customHeight="false" outlineLevel="0" collapsed="false">
      <c r="A19" s="15" t="s">
        <v>144</v>
      </c>
      <c r="B19" s="2"/>
      <c r="C19" s="2"/>
      <c r="D19" s="2"/>
      <c r="E19" s="2"/>
      <c r="F19" s="2"/>
      <c r="G19" s="2"/>
      <c r="H19" s="2"/>
      <c r="I19" s="2"/>
    </row>
    <row r="20" customFormat="false" ht="16.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6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</sheetData>
  <sheetProtection sheet="true" formatCells="false" formatColumns="false" formatRows="false"/>
  <mergeCells count="2">
    <mergeCell ref="A1:G1"/>
    <mergeCell ref="A2:G2"/>
  </mergeCells>
  <conditionalFormatting sqref="G6:G15">
    <cfRule type="dataBar" priority="2">
      <dataBar showValue="1" minLength="10" maxLength="90">
        <cfvo type="num" val="0"/>
        <cfvo type="num" val="1"/>
        <color rgb="FF2F9E6E"/>
      </dataBar>
      <extLst>
        <ext xmlns:x14="http://schemas.microsoft.com/office/spreadsheetml/2009/9/main" uri="{B025F937-C7B1-47D3-B67F-A62EFF666E3E}">
          <x14:id>{F1AB896F-C242-4540-9297-34D880A0DDF8}</x14:id>
        </ext>
      </extLst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AB896F-C242-4540-9297-34D880A0DDF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9E6E"/>
              <x14:axisColor rgb="FF000000"/>
            </x14:dataBar>
          </x14:cfRule>
          <xm:sqref>G6:G15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2026-08-11T22:09:19Z</dcterms:created>
  <dc:creator>openpyxl</dc:creator>
  <dc:description/>
  <dc:language>en-US</dc:language>
  <cp:lastModifiedBy/>
  <dcterms:modified xsi:type="dcterms:W3CDTF">2026-08-11T22:09:32Z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