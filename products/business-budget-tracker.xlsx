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Budget Plan" sheetId="2" state="visible" r:id="rId4"/>
    <sheet name="Expenses" sheetId="3" state="visible" r:id="rId5"/>
    <sheet name="Revenue" sheetId="4" state="visible" r:id="rId6"/>
    <sheet name="Dashboard" sheetId="5" state="visible" r:id="rId7"/>
  </sheets>
  <definedNames>
    <definedName function="false" hidden="false" localSheetId="1" name="_xlnm.Print_Area" vbProcedure="false">'Budget Plan'!$A$1:$N$26</definedName>
    <definedName function="false" hidden="false" localSheetId="4" name="_xlnm.Print_Area" vbProcedure="false">Dashboard!$A$1:$M$52</definedName>
    <definedName function="false" hidden="false" localSheetId="2" name="_xlnm.Print_Area" vbProcedure="false">Expenses!$A$1:$E$40</definedName>
    <definedName function="false" hidden="false" localSheetId="3" name="_xlnm.Print_Area" vbProcedure="false">Revenue!$A$1:$D$40</definedName>
    <definedName function="false" hidden="false" localSheetId="0" name="_xlnm.Print_Area" vbProcedure="false">'Start Here'!$A$1:$H$28</definedName>
    <definedName function="false" hidden="false" name="CategoryList" vbProcedure="false">'Budget Plan'!$A$8:$A$23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<sst xmlns="http://schemas.openxmlformats.org/spreadsheetml/2006/main" count="134" uniqueCount="113">
  <si>
    <t xml:space="preserve">Business Budget &amp; Expense Tracker</t>
  </si>
  <si>
    <t xml:space="preserve">Plan the year, log what happens, and always know where you stand vs. budget.</t>
  </si>
  <si>
    <t xml:space="preserve">Welcome!</t>
  </si>
  <si>
    <t xml:space="preserve">Built for small businesses, startups, and teams: set a month-by-month budget per category, log expenses and revenue as they happen, and the dashboard reports actuals vs. budget with variance — monthly, quarterly, and by category.</t>
  </si>
  <si>
    <t xml:space="preserve">1.  Plan the year on Budget Plan</t>
  </si>
  <si>
    <t xml:space="preserve">One row per category, one column per month. Budgets can differ by month — seasonal is fine. Rename categories to match your business.</t>
  </si>
  <si>
    <t xml:space="preserve">2.  Log every expense</t>
  </si>
  <si>
    <t xml:space="preserve">On Expenses: date, vendor, category (dropdown), description, amount.</t>
  </si>
  <si>
    <t xml:space="preserve">3.  Log revenue</t>
  </si>
  <si>
    <t xml:space="preserve">On Revenue: date, client or source, amount. Keeps the dashboard honest about the whole picture.</t>
  </si>
  <si>
    <t xml:space="preserve">4.  Read the Dashboard</t>
  </si>
  <si>
    <t xml:space="preserve">Budget vs. actual with variance by month, quarter, and category — plus revenue and net. Overruns show in red.</t>
  </si>
  <si>
    <t xml:space="preserve">Color guide</t>
  </si>
  <si>
    <t xml:space="preserve">Light yellow cells = yours to fill in or change</t>
  </si>
  <si>
    <t xml:space="preserve">Grey / white cells = calculated automatically — no need to touch them</t>
  </si>
  <si>
    <t xml:space="preserve">Note: the file includes example data so you can see how everything works — delete it and add your own.</t>
  </si>
  <si>
    <t xml:space="preserve">Works in Microsoft Excel (2016 or newer) and Google Sheets (upload to Drive, then Open with Google Sheets).</t>
  </si>
  <si>
    <t xml:space="preserve">Formulas are protected so you can't break anything by accident — every cell meant for typing is unlocked. To change anything else: Review → Unprotect Sheet (no password).</t>
  </si>
  <si>
    <t xml:space="preserve">This is a planning aid, not accounting or tax advice.</t>
  </si>
  <si>
    <t xml:space="preserve">Budget Plan</t>
  </si>
  <si>
    <t xml:space="preserve">Month-by-month budget per category. Yellow cells are yours — seasonal budgets welcome.</t>
  </si>
  <si>
    <t xml:space="preserve">ANNUAL BUDGET BY CATEGORY</t>
  </si>
  <si>
    <t xml:space="preserve">Category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</si>
  <si>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</si>
  <si>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</si>
  <si>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</si>
  <si>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</si>
  <si>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</si>
  <si>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</si>
  <si>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</si>
  <si>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</si>
  <si>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</si>
  <si>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</si>
  <si>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</si>
  <si>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</si>
  <si>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Annual</t>
  </si>
  <si>
    <t xml:space="preserve">Payroll &amp; contractors</t>
  </si>
  <si>
    <t xml:space="preserve">Rent &amp; utilities</t>
  </si>
  <si>
    <t xml:space="preserve">Software &amp; subscriptions</t>
  </si>
  <si>
    <t xml:space="preserve">Marketing &amp; ads</t>
  </si>
  <si>
    <t xml:space="preserve">Travel</t>
  </si>
  <si>
    <t xml:space="preserve">Equipment</t>
  </si>
  <si>
    <t xml:space="preserve">Professional services</t>
  </si>
  <si>
    <t xml:space="preserve">Insurance</t>
  </si>
  <si>
    <t xml:space="preserve">Taxes &amp; fees</t>
  </si>
  <si>
    <t xml:space="preserve">Other</t>
  </si>
  <si>
    <t xml:space="preserve">Monthly total</t>
  </si>
  <si>
    <t xml:space="preserve">Expenses</t>
  </si>
  <si>
    <t xml:space="preserve">One row per expense. The Dashboard reads this table automatically.</t>
  </si>
  <si>
    <t xml:space="preserve">Every cell in this table is yours to type in. Pick the Category from the dropdown.</t>
  </si>
  <si>
    <t xml:space="preserve">Date</t>
  </si>
  <si>
    <t xml:space="preserve">Vendor</t>
  </si>
  <si>
    <t xml:space="preserve">Description</t>
  </si>
  <si>
    <t xml:space="preserve">Amount</t>
  </si>
  <si>
    <t xml:space="preserve">Gusto</t>
  </si>
  <si>
    <t xml:space="preserve">July payroll</t>
  </si>
  <si>
    <t xml:space="preserve">WeWork</t>
  </si>
  <si>
    <t xml:space="preserve">Office + internet</t>
  </si>
  <si>
    <t xml:space="preserve">Adobe / Notion</t>
  </si>
  <si>
    <t xml:space="preserve">Monthly seats</t>
  </si>
  <si>
    <t xml:space="preserve">LinkedIn</t>
  </si>
  <si>
    <t xml:space="preserve">Lead-gen campaign</t>
  </si>
  <si>
    <t xml:space="preserve">Delta</t>
  </si>
  <si>
    <t xml:space="preserve">Client visit — flights</t>
  </si>
  <si>
    <t xml:space="preserve">August payroll</t>
  </si>
  <si>
    <t xml:space="preserve">Apple</t>
  </si>
  <si>
    <t xml:space="preserve">MacBook Air — new hire</t>
  </si>
  <si>
    <t xml:space="preserve">Revenue</t>
  </si>
  <si>
    <t xml:space="preserve">One row per payment received. Keeps the dashboard honest about the whole picture.</t>
  </si>
  <si>
    <t xml:space="preserve">Every cell in this table is yours to type in.</t>
  </si>
  <si>
    <t xml:space="preserve">Client / source</t>
  </si>
  <si>
    <t xml:space="preserve">Notes</t>
  </si>
  <si>
    <t xml:space="preserve">Meridian Co — retainer</t>
  </si>
  <si>
    <t xml:space="preserve">Bluestone LLC — project</t>
  </si>
  <si>
    <t xml:space="preserve">Phase 1</t>
  </si>
  <si>
    <t xml:space="preserve">Harbor Group — workshop</t>
  </si>
  <si>
    <t xml:space="preserve">Dashboard</t>
  </si>
  <si>
    <t xml:space="preserve">Budget vs. actual with variance — monthly, quarterly, and by category.</t>
  </si>
  <si>
    <t xml:space="preserve">Year</t>
  </si>
  <si>
    <t xml:space="preserve">REVENUE YTD</t>
  </si>
  <si>
    <t xml:space="preserve">EXPENSES YTD</t>
  </si>
  <si>
    <t xml:space="preserve">NET</t>
  </si>
  <si>
    <t xml:space="preserve">ANNUAL BUDGET LEFT</t>
  </si>
  <si>
    <t xml:space="preserve">Month by month</t>
  </si>
  <si>
    <t xml:space="preserve">By category — year to date</t>
  </si>
  <si>
    <t xml:space="preserve">#</t>
  </si>
  <si>
    <t xml:space="preserve">Month</t>
  </si>
  <si>
    <t xml:space="preserve">Budget</t>
  </si>
  <si>
    <t xml:space="preserve">Spent</t>
  </si>
  <si>
    <t xml:space="preserve">Variance</t>
  </si>
  <si>
    <t xml:space="preserve">Annual budget</t>
  </si>
  <si>
    <t xml:space="preserve">Spent YTD</t>
  </si>
  <si>
    <t xml:space="preserve">Left</t>
  </si>
  <si>
    <t xml:space="preserve">% used</t>
  </si>
  <si>
    <t xml:space="preserve">January</t>
  </si>
  <si>
    <t xml:space="preserve">February</t>
  </si>
  <si>
    <t xml:space="preserve">March</t>
  </si>
  <si>
    <t xml:space="preserve">April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</si>
  <si>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</si>
  <si>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</si>
  <si>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</si>
  <si>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</si>
  <si>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</si>
  <si>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</si>
  <si>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</si>
  <si>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Quarter by quarter</t>
  </si>
  <si>
    <t xml:space="preserve">Quarter</t>
  </si>
  <si>
    <t xml:space="preserve">Net</t>
  </si>
  <si>
    <t xml:space="preserve">Q1</t>
  </si>
  <si>
    <t xml:space="preserve">Q2</t>
  </si>
  <si>
    <t xml:space="preserve">Q3</t>
  </si>
  <si>
    <t xml:space="preserve">INSIGHTS — written automatically from your numbers</t>
  </si>
  <si>
    <t xml:space="preserve">Q4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</si>
</sst>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mm/dd/yyyy"/>
    <numFmt numFmtId="167" formatCode="\$#,##0.00"/>
    <numFmt numFmtId="168" formatCode="\$#,##0;&quot;($&quot;#,##0\);\-"/>
    <numFmt numFmtId="169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0"/>
      <color rgb="FFE5E7EB"/>
      <name val="Calibri"/>
      <family val="0"/>
      <charset val="1"/>
    </font>
    <font>
      <b val="true"/>
      <sz val="13"/>
      <color rgb="FF1F2937"/>
      <name val="Calibri"/>
      <family val="0"/>
      <charset val="1"/>
    </font>
    <font>
      <sz val="10"/>
      <color rgb="FF6B7280"/>
      <name val="Calibri"/>
      <family val="0"/>
      <charset val="1"/>
    </font>
    <font>
      <b val="true"/>
      <sz val="11"/>
      <color rgb="FF1F2937"/>
      <name val="Calibri"/>
      <family val="0"/>
      <charset val="1"/>
    </font>
    <font>
      <sz val="10"/>
      <color rgb="FF1F2937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9"/>
      <color rgb="FF6B7280"/>
      <name val="Calibri"/>
      <family val="0"/>
      <charset val="1"/>
    </font>
    <font>
      <b val="true"/>
      <sz val="9"/>
      <color rgb="FF29435C"/>
      <name val="Calibri"/>
      <family val="0"/>
      <charset val="1"/>
    </font>
    <font>
      <sz val="9"/>
      <color rgb="FF1F2937"/>
      <name val="Calibri"/>
      <family val="0"/>
      <charset val="1"/>
    </font>
    <font>
      <b val="true"/>
      <sz val="9"/>
      <color rgb="FF1F2937"/>
      <name val="Calibri"/>
      <family val="0"/>
      <charset val="1"/>
    </font>
    <font>
      <b val="true"/>
      <sz val="10"/>
      <color rgb="FF1F2937"/>
      <name val="Calibri"/>
      <family val="0"/>
      <charset val="1"/>
    </font>
    <font>
      <b val="true"/>
      <sz val="10"/>
      <color rgb="FFB58A2A"/>
      <name val="Calibri"/>
      <family val="0"/>
      <charset val="1"/>
    </font>
    <font>
      <b val="true"/>
      <sz val="18"/>
      <color rgb="FF3D6B8E"/>
      <name val="Calibri"/>
      <family val="0"/>
      <charset val="1"/>
    </font>
    <font>
      <b val="true"/>
      <sz val="18"/>
      <color rgb="FFB3352C"/>
      <name val="Calibri"/>
      <family val="0"/>
      <charset val="1"/>
    </font>
    <font>
      <b val="true"/>
      <sz val="18"/>
      <color rgb="FFB58A2A"/>
      <name val="Calibri"/>
      <family val="0"/>
      <charset val="1"/>
    </font>
    <font>
      <b val="true"/>
      <sz val="18"/>
      <color rgb="FF1F2937"/>
      <name val="Calibri"/>
      <family val="0"/>
      <charset val="1"/>
    </font>
    <font>
      <sz val="8"/>
      <color rgb="FF6B728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9435C"/>
        <bgColor rgb="FF1F2937"/>
      </patternFill>
    </fill>
    <fill>
      <patternFill patternType="solid">
        <fgColor rgb="FFF5F7F9"/>
        <bgColor rgb="FFF4F6FA"/>
      </patternFill>
    </fill>
    <fill>
      <patternFill patternType="solid">
        <fgColor rgb="FFFFF6DE"/>
        <bgColor rgb="FFF5F7F9"/>
      </patternFill>
    </fill>
    <fill>
      <patternFill patternType="solid">
        <fgColor rgb="FFF4F6FA"/>
        <bgColor rgb="FFF5F7F9"/>
      </patternFill>
    </fill>
    <fill>
      <patternFill patternType="solid">
        <fgColor rgb="FFFFFFFF"/>
        <bgColor rgb="FFF9FAFC"/>
      </patternFill>
    </fill>
    <fill>
      <patternFill patternType="solid">
        <fgColor rgb="FFF9FAFC"/>
        <bgColor rgb="FFF5F7F9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BEE"/>
      </bottom>
      <diagonal/>
    </border>
    <border diagonalUp="false" diagonalDown="false">
      <left/>
      <right/>
      <top/>
      <bottom style="medium">
        <color rgb="FF29435C"/>
      </bottom>
      <diagonal/>
    </border>
    <border diagonalUp="false" diagonalDown="false">
      <left/>
      <right/>
      <top style="medium">
        <color rgb="FF1F2937"/>
      </top>
      <bottom/>
      <diagonal/>
    </border>
    <border diagonalUp="false" diagonalDown="false">
      <left/>
      <right/>
      <top/>
      <bottom style="thin">
        <color rgb="FFE3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4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9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9" fillId="6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6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9" fillId="6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6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8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9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0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1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F9FA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29435C"/>
          <bgColor rgb="FF000000"/>
        </patternFill>
      </fill>
    </dxf>
    <dxf>
      <font>
        <name val="Calibri"/>
        <charset val="1"/>
        <family val="0"/>
        <b val="1"/>
        <color rgb="FFB3352C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58A2A"/>
      <rgbColor rgb="FF800080"/>
      <rgbColor rgb="FF3D6B8E"/>
      <rgbColor rgb="FFF9FAFC"/>
      <rgbColor rgb="FF878787"/>
      <rgbColor rgb="FF9999FF"/>
      <rgbColor rgb="FF993366"/>
      <rgbColor rgb="FFFFF6DE"/>
      <rgbColor rgb="FFE7EBEE"/>
      <rgbColor rgb="FF660066"/>
      <rgbColor rgb="FFFF8080"/>
      <rgbColor rgb="FF0066CC"/>
      <rgbColor rgb="FFE5E7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8F0"/>
      <rgbColor rgb="FFE4E9E6"/>
      <rgbColor rgb="FFF5F7F9"/>
      <rgbColor rgb="FF99CCFF"/>
      <rgbColor rgb="FFFF99CC"/>
      <rgbColor rgb="FFCC99FF"/>
      <rgbColor rgb="FFF4F6FA"/>
      <rgbColor rgb="FF3366FF"/>
      <rgbColor rgb="FF33CCCC"/>
      <rgbColor rgb="FF99CC00"/>
      <rgbColor rgb="FFFFCC00"/>
      <rgbColor rgb="FFFF9900"/>
      <rgbColor rgb="FFFF6600"/>
      <rgbColor rgb="FF6B7280"/>
      <rgbColor rgb="FF93A3B8"/>
      <rgbColor rgb="FF003366"/>
      <rgbColor rgb="FF339966"/>
      <rgbColor rgb="FF003300"/>
      <rgbColor rgb="FF333300"/>
      <rgbColor rgb="FFB3352C"/>
      <rgbColor rgb="FF993366"/>
      <rgbColor rgb="FF29435C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vs. spent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93a3b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Dashboard!$B$12:$B$23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Dashboard!$C$12:$C$23</c:f>
              <c:numCache>
                <c:formatCode>\$#,##0;"($"#,##0\);\-</c:formatCode>
                <c:ptCount val="12"/>
                <c:pt idx="0">
                  <c:v>10230</c:v>
                </c:pt>
                <c:pt idx="1">
                  <c:v>10230</c:v>
                </c:pt>
                <c:pt idx="2">
                  <c:v>10230</c:v>
                </c:pt>
                <c:pt idx="3">
                  <c:v>10230</c:v>
                </c:pt>
                <c:pt idx="4">
                  <c:v>10230</c:v>
                </c:pt>
                <c:pt idx="5">
                  <c:v>10230</c:v>
                </c:pt>
                <c:pt idx="6">
                  <c:v>10230</c:v>
                </c:pt>
                <c:pt idx="7">
                  <c:v>10230</c:v>
                </c:pt>
                <c:pt idx="8">
                  <c:v>10230</c:v>
                </c:pt>
                <c:pt idx="9">
                  <c:v>10230</c:v>
                </c:pt>
                <c:pt idx="10">
                  <c:v>10230</c:v>
                </c:pt>
                <c:pt idx="11">
                  <c:v>10230</c:v>
                </c:pt>
              </c:numCache>
            </c:numRef>
          </c:val>
        </c:ser>
        <c:ser>
          <c:idx val="1"/>
          <c:order val="1"/>
          <c:tx>
            <c:strRef>
              <c:f>Dashboard!D11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rgbClr val="3d6b8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Dashboard!$B$12:$B$23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Dashboard!$D$12:$D$23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8770</c:v>
                </c:pt>
                <c:pt idx="7">
                  <c:v>8599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48434591"/>
        <c:axId val="50458743"/>
      </c:barChart>
      <c:catAx>
        <c:axId val="4843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58743"/>
        <c:crosses val="autoZero"/>
        <c:auto val="1"/>
        <c:lblAlgn val="ctr"/>
        <c:lblOffset val="100"/>
        <c:noMultiLvlLbl val="0"/>
      </c:catAx>
      <c:valAx>
        <c:axId val="50458743"/>
        <c:scaling>
          <c:orientation val="minMax"/>
        </c:scaling>
        <c:delete val="0"/>
        <c:axPos val="l"/>
        <c:majorGridlines>
          <c:spPr>
            <a:ln w="9360">
              <a:solidFill>
                <a:srgbClr val="e4e9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4345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33</xdr:row>
      <xdr:rowOff>0</xdr:rowOff>
    </xdr:from>
    <xdr:to>
      <xdr:col>7</xdr:col>
      <xdr:colOff>1068480</xdr:colOff>
      <xdr:row>47</xdr:row>
      <xdr:rowOff>18000</xdr:rowOff>
    </xdr:to>
    <xdr:graphicFrame>
      <xdr:nvGraphicFramePr>
        <xdr:cNvPr id="0" name="Chart 1"/>
        <xdr:cNvGraphicFramePr/>
      </xdr:nvGraphicFramePr>
      <xdr:xfrm>
        <a:off x="281880" y="773424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izExpenses" displayName="BizExpenses" ref="A5:E405" headerRowCount="1" totalsRowCount="0" totalsRowShown="0">
  <autoFilter ref="A5:E405"/>
  <tableColumns count="5">
    <tableColumn id="1" name="Date"/>
    <tableColumn id="2" name="Vendor"/>
    <tableColumn id="3" name="Category"/>
    <tableColumn id="4" name="Description"/>
    <tableColumn id="5" name="Amount"/>
  </tableColumns>
</table>
</file>

<file path=xl/tables/table2.xml><?xml version="1.0" encoding="utf-8"?>
<table xmlns="http://schemas.openxmlformats.org/spreadsheetml/2006/main" id="2" name="BizRevenue" displayName="BizRevenue" ref="A5:D205" headerRowCount="1" totalsRowCount="0" totalsRowShown="0">
  <autoFilter ref="A5:D205"/>
  <tableColumns count="4">
    <tableColumn id="1" name="Date"/>
    <tableColumn id="2" name="Client / source"/>
    <tableColumn id="3" name="Amount"/>
    <tableColumn id="4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8" min="3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2"/>
      <c r="J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6.5" hidden="false" customHeight="false" outlineLevel="0" collapsed="false">
      <c r="A4" s="2"/>
      <c r="B4" s="4" t="s">
        <v>2</v>
      </c>
      <c r="C4" s="2"/>
      <c r="D4" s="2"/>
      <c r="E4" s="2"/>
      <c r="F4" s="2"/>
      <c r="G4" s="2"/>
      <c r="H4" s="2"/>
      <c r="I4" s="2"/>
      <c r="J4" s="2"/>
    </row>
    <row r="5" customFormat="false" ht="16.5" hidden="false" customHeight="true" outlineLevel="0" collapsed="false">
      <c r="A5" s="2"/>
      <c r="B5" s="5" t="s">
        <v>3</v>
      </c>
      <c r="C5" s="5"/>
      <c r="D5" s="5"/>
      <c r="E5" s="5"/>
      <c r="F5" s="5"/>
      <c r="G5" s="5"/>
      <c r="H5" s="5"/>
      <c r="I5" s="2"/>
      <c r="J5" s="2"/>
    </row>
    <row r="6" customFormat="false" ht="16.5" hidden="false" customHeight="false" outlineLevel="0" collapsed="false">
      <c r="A6" s="2"/>
      <c r="B6" s="5"/>
      <c r="C6" s="5"/>
      <c r="D6" s="5"/>
      <c r="E6" s="5"/>
      <c r="F6" s="5"/>
      <c r="G6" s="5"/>
      <c r="H6" s="5"/>
      <c r="I6" s="2"/>
      <c r="J6" s="2"/>
    </row>
    <row r="7" customFormat="false" ht="16.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</row>
    <row r="8" customFormat="false" ht="16.5" hidden="false" customHeight="false" outlineLevel="0" collapsed="false">
      <c r="A8" s="2"/>
      <c r="B8" s="6" t="s">
        <v>4</v>
      </c>
      <c r="C8" s="2"/>
      <c r="D8" s="2"/>
      <c r="E8" s="2"/>
      <c r="F8" s="2"/>
      <c r="G8" s="2"/>
      <c r="H8" s="2"/>
      <c r="I8" s="2"/>
      <c r="J8" s="2"/>
    </row>
    <row r="9" customFormat="false" ht="27.75" hidden="false" customHeight="true" outlineLevel="0" collapsed="false">
      <c r="A9" s="2"/>
      <c r="B9" s="2"/>
      <c r="C9" s="5" t="s">
        <v>5</v>
      </c>
      <c r="D9" s="5"/>
      <c r="E9" s="5"/>
      <c r="F9" s="5"/>
      <c r="G9" s="5"/>
      <c r="H9" s="5"/>
      <c r="I9" s="2"/>
      <c r="J9" s="2"/>
    </row>
    <row r="10" customFormat="false" ht="16.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customFormat="false" ht="16.5" hidden="false" customHeight="false" outlineLevel="0" collapsed="false">
      <c r="A11" s="2"/>
      <c r="B11" s="6" t="s">
        <v>6</v>
      </c>
      <c r="C11" s="2"/>
      <c r="D11" s="2"/>
      <c r="E11" s="2"/>
      <c r="F11" s="2"/>
      <c r="G11" s="2"/>
      <c r="H11" s="2"/>
      <c r="I11" s="2"/>
      <c r="J11" s="2"/>
    </row>
    <row r="12" customFormat="false" ht="27.75" hidden="false" customHeight="true" outlineLevel="0" collapsed="false">
      <c r="A12" s="2"/>
      <c r="B12" s="2"/>
      <c r="C12" s="5" t="s">
        <v>7</v>
      </c>
      <c r="D12" s="5"/>
      <c r="E12" s="5"/>
      <c r="F12" s="5"/>
      <c r="G12" s="5"/>
      <c r="H12" s="5"/>
      <c r="I12" s="2"/>
      <c r="J12" s="2"/>
    </row>
    <row r="13" customFormat="false" ht="16.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6.5" hidden="false" customHeight="false" outlineLevel="0" collapsed="false">
      <c r="A14" s="2"/>
      <c r="B14" s="6" t="s">
        <v>8</v>
      </c>
      <c r="C14" s="2"/>
      <c r="D14" s="2"/>
      <c r="E14" s="2"/>
      <c r="F14" s="2"/>
      <c r="G14" s="2"/>
      <c r="H14" s="2"/>
      <c r="I14" s="2"/>
      <c r="J14" s="2"/>
    </row>
    <row r="15" customFormat="false" ht="27.75" hidden="false" customHeight="true" outlineLevel="0" collapsed="false">
      <c r="A15" s="2"/>
      <c r="B15" s="2"/>
      <c r="C15" s="5" t="s">
        <v>9</v>
      </c>
      <c r="D15" s="5"/>
      <c r="E15" s="5"/>
      <c r="F15" s="5"/>
      <c r="G15" s="5"/>
      <c r="H15" s="5"/>
      <c r="I15" s="2"/>
      <c r="J15" s="2"/>
    </row>
    <row r="16" customFormat="false" ht="16.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customFormat="false" ht="16.5" hidden="false" customHeight="false" outlineLevel="0" collapsed="false">
      <c r="A17" s="2"/>
      <c r="B17" s="6" t="s">
        <v>10</v>
      </c>
      <c r="C17" s="2"/>
      <c r="D17" s="2"/>
      <c r="E17" s="2"/>
      <c r="F17" s="2"/>
      <c r="G17" s="2"/>
      <c r="H17" s="2"/>
      <c r="I17" s="2"/>
      <c r="J17" s="2"/>
    </row>
    <row r="18" customFormat="false" ht="27.75" hidden="false" customHeight="true" outlineLevel="0" collapsed="false">
      <c r="A18" s="2"/>
      <c r="B18" s="2"/>
      <c r="C18" s="5" t="s">
        <v>11</v>
      </c>
      <c r="D18" s="5"/>
      <c r="E18" s="5"/>
      <c r="F18" s="5"/>
      <c r="G18" s="5"/>
      <c r="H18" s="5"/>
      <c r="I18" s="2"/>
      <c r="J18" s="2"/>
    </row>
    <row r="19" customFormat="false" ht="16.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customFormat="false" ht="16.5" hidden="false" customHeight="false" outlineLevel="0" collapsed="false">
      <c r="A20" s="2"/>
      <c r="B20" s="6" t="s">
        <v>12</v>
      </c>
      <c r="C20" s="2"/>
      <c r="D20" s="2"/>
      <c r="E20" s="2"/>
      <c r="F20" s="2"/>
      <c r="G20" s="2"/>
      <c r="H20" s="2"/>
      <c r="I20" s="2"/>
      <c r="J20" s="2"/>
    </row>
    <row r="21" customFormat="false" ht="16.5" hidden="false" customHeight="false" outlineLevel="0" collapsed="false">
      <c r="A21" s="2"/>
      <c r="B21" s="7"/>
      <c r="C21" s="8" t="s">
        <v>13</v>
      </c>
      <c r="D21" s="2"/>
      <c r="E21" s="2"/>
      <c r="F21" s="2"/>
      <c r="G21" s="2"/>
      <c r="H21" s="2"/>
      <c r="I21" s="2"/>
      <c r="J21" s="2"/>
    </row>
    <row r="22" customFormat="false" ht="16.5" hidden="false" customHeight="false" outlineLevel="0" collapsed="false">
      <c r="A22" s="2"/>
      <c r="B22" s="9"/>
      <c r="C22" s="8" t="s">
        <v>14</v>
      </c>
      <c r="D22" s="2"/>
      <c r="E22" s="2"/>
      <c r="F22" s="2"/>
      <c r="G22" s="2"/>
      <c r="H22" s="2"/>
      <c r="I22" s="2"/>
      <c r="J22" s="2"/>
    </row>
    <row r="23" customFormat="false" ht="16.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6.5" hidden="false" customHeight="false" outlineLevel="0" collapsed="false">
      <c r="A24" s="2"/>
      <c r="B24" s="10" t="s">
        <v>15</v>
      </c>
      <c r="C24" s="2"/>
      <c r="D24" s="2"/>
      <c r="E24" s="2"/>
      <c r="F24" s="2"/>
      <c r="G24" s="2"/>
      <c r="H24" s="2"/>
      <c r="I24" s="2"/>
      <c r="J24" s="2"/>
    </row>
    <row r="25" customFormat="false" ht="16.5" hidden="false" customHeight="false" outlineLevel="0" collapsed="false">
      <c r="A25" s="2"/>
      <c r="B25" s="10" t="s">
        <v>16</v>
      </c>
      <c r="C25" s="2"/>
      <c r="D25" s="2"/>
      <c r="E25" s="2"/>
      <c r="F25" s="2"/>
      <c r="G25" s="2"/>
      <c r="H25" s="2"/>
      <c r="I25" s="2"/>
      <c r="J25" s="2"/>
    </row>
    <row r="26" customFormat="false" ht="16.5" hidden="false" customHeight="false" outlineLevel="0" collapsed="false">
      <c r="A26" s="2"/>
      <c r="B26" s="10" t="s">
        <v>17</v>
      </c>
      <c r="C26" s="2"/>
      <c r="D26" s="2"/>
      <c r="E26" s="2"/>
      <c r="F26" s="2"/>
      <c r="G26" s="2"/>
      <c r="H26" s="2"/>
      <c r="I26" s="2"/>
      <c r="J26" s="2"/>
    </row>
    <row r="27" customFormat="false" ht="16.5" hidden="false" customHeight="false" outlineLevel="0" collapsed="false">
      <c r="A27" s="2"/>
      <c r="B27" s="11" t="s">
        <v>18</v>
      </c>
      <c r="C27" s="2"/>
      <c r="D27" s="2"/>
      <c r="E27" s="2"/>
      <c r="F27" s="2"/>
      <c r="G27" s="2"/>
      <c r="H27" s="2"/>
      <c r="I27" s="2"/>
      <c r="J27" s="2"/>
    </row>
    <row r="28" customFormat="false" ht="16.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customFormat="false" ht="16.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customFormat="false" ht="16.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6.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6.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6.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6.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customFormat="false" ht="16.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customFormat="false" ht="16.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customFormat="false" ht="16.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customFormat="false" ht="16.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customFormat="false" ht="16.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customFormat="false" ht="16.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customFormat="false" ht="16.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customFormat="false" ht="16.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</row>
  </sheetData>
  <sheetProtection sheet="true" formatCells="false" formatColumns="false" formatRows="false"/>
  <mergeCells count="7">
    <mergeCell ref="A1:H1"/>
    <mergeCell ref="A2:H2"/>
    <mergeCell ref="B5:H6"/>
    <mergeCell ref="C9:H9"/>
    <mergeCell ref="C12:H12"/>
    <mergeCell ref="C15:H15"/>
    <mergeCell ref="C18:H18"/>
  </mergeCell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26"/>
    <col collapsed="false" customWidth="true" hidden="false" outlineLevel="0" max="13" min="2" style="0" width="9.51"/>
    <col collapsed="false" customWidth="true" hidden="false" outlineLevel="0" max="14" min="14" style="0" width="12"/>
  </cols>
  <sheetData>
    <row r="1" customFormat="false" ht="25.5" hidden="false" customHeight="true" outlineLevel="0" collapsed="false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customFormat="false" ht="15.75" hidden="false" customHeight="true" outlineLevel="0" collapsed="false">
      <c r="A2" s="3" t="s">
        <v>20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6.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customFormat="false" ht="16.5" hidden="false" customHeight="false" outlineLevel="0" collapsed="false">
      <c r="A5" s="12" t="s">
        <v>21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16.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customFormat="false" ht="21.75" hidden="false" customHeight="true" outlineLevel="0" collapsed="false">
      <c r="A7" s="13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2"/>
    </row>
    <row r="8" customFormat="false" ht="16.5" hidden="false" customHeight="false" outlineLevel="0" collapsed="false">
      <c r="A8" s="14" t="s">
        <v>36</v>
      </c>
      <c r="B8" s="15" t="n">
        <v>6500</v>
      </c>
      <c r="C8" s="15" t="n">
        <v>6500</v>
      </c>
      <c r="D8" s="15" t="n">
        <v>6500</v>
      </c>
      <c r="E8" s="15" t="n">
        <v>6500</v>
      </c>
      <c r="F8" s="15" t="n">
        <v>6500</v>
      </c>
      <c r="G8" s="15" t="n">
        <v>6500</v>
      </c>
      <c r="H8" s="15" t="n">
        <v>6500</v>
      </c>
      <c r="I8" s="15" t="n">
        <v>6500</v>
      </c>
      <c r="J8" s="15" t="n">
        <v>6500</v>
      </c>
      <c r="K8" s="15" t="n">
        <v>6500</v>
      </c>
      <c r="L8" s="15" t="n">
        <v>6500</v>
      </c>
      <c r="M8" s="15" t="n">
        <v>6500</v>
      </c>
      <c r="N8" s="16" t="n">
        <f aca="false">IF($A8="","",SUM(B8:M8))</f>
        <v>78000</v>
      </c>
      <c r="O8" s="2"/>
    </row>
    <row r="9" customFormat="false" ht="16.5" hidden="false" customHeight="false" outlineLevel="0" collapsed="false">
      <c r="A9" s="14" t="s">
        <v>37</v>
      </c>
      <c r="B9" s="15" t="n">
        <v>1200</v>
      </c>
      <c r="C9" s="15" t="n">
        <v>1200</v>
      </c>
      <c r="D9" s="15" t="n">
        <v>1200</v>
      </c>
      <c r="E9" s="15" t="n">
        <v>1200</v>
      </c>
      <c r="F9" s="15" t="n">
        <v>1200</v>
      </c>
      <c r="G9" s="15" t="n">
        <v>1200</v>
      </c>
      <c r="H9" s="15" t="n">
        <v>1200</v>
      </c>
      <c r="I9" s="15" t="n">
        <v>1200</v>
      </c>
      <c r="J9" s="15" t="n">
        <v>1200</v>
      </c>
      <c r="K9" s="15" t="n">
        <v>1200</v>
      </c>
      <c r="L9" s="15" t="n">
        <v>1200</v>
      </c>
      <c r="M9" s="15" t="n">
        <v>1200</v>
      </c>
      <c r="N9" s="16" t="n">
        <f aca="false">IF($A9="","",SUM(B9:M9))</f>
        <v>14400</v>
      </c>
      <c r="O9" s="2"/>
    </row>
    <row r="10" customFormat="false" ht="16.5" hidden="false" customHeight="false" outlineLevel="0" collapsed="false">
      <c r="A10" s="14" t="s">
        <v>38</v>
      </c>
      <c r="B10" s="15" t="n">
        <v>300</v>
      </c>
      <c r="C10" s="15" t="n">
        <v>300</v>
      </c>
      <c r="D10" s="15" t="n">
        <v>300</v>
      </c>
      <c r="E10" s="15" t="n">
        <v>300</v>
      </c>
      <c r="F10" s="15" t="n">
        <v>300</v>
      </c>
      <c r="G10" s="15" t="n">
        <v>300</v>
      </c>
      <c r="H10" s="15" t="n">
        <v>300</v>
      </c>
      <c r="I10" s="15" t="n">
        <v>300</v>
      </c>
      <c r="J10" s="15" t="n">
        <v>300</v>
      </c>
      <c r="K10" s="15" t="n">
        <v>300</v>
      </c>
      <c r="L10" s="15" t="n">
        <v>300</v>
      </c>
      <c r="M10" s="15" t="n">
        <v>300</v>
      </c>
      <c r="N10" s="16" t="n">
        <f aca="false">IF($A10="","",SUM(B10:M10))</f>
        <v>3600</v>
      </c>
      <c r="O10" s="2"/>
    </row>
    <row r="11" customFormat="false" ht="16.5" hidden="false" customHeight="false" outlineLevel="0" collapsed="false">
      <c r="A11" s="14" t="s">
        <v>39</v>
      </c>
      <c r="B11" s="15" t="n">
        <v>600</v>
      </c>
      <c r="C11" s="15" t="n">
        <v>600</v>
      </c>
      <c r="D11" s="15" t="n">
        <v>600</v>
      </c>
      <c r="E11" s="15" t="n">
        <v>600</v>
      </c>
      <c r="F11" s="15" t="n">
        <v>600</v>
      </c>
      <c r="G11" s="15" t="n">
        <v>600</v>
      </c>
      <c r="H11" s="15" t="n">
        <v>600</v>
      </c>
      <c r="I11" s="15" t="n">
        <v>600</v>
      </c>
      <c r="J11" s="15" t="n">
        <v>600</v>
      </c>
      <c r="K11" s="15" t="n">
        <v>600</v>
      </c>
      <c r="L11" s="15" t="n">
        <v>600</v>
      </c>
      <c r="M11" s="15" t="n">
        <v>600</v>
      </c>
      <c r="N11" s="16" t="n">
        <f aca="false">IF($A11="","",SUM(B11:M11))</f>
        <v>7200</v>
      </c>
      <c r="O11" s="2"/>
    </row>
    <row r="12" customFormat="false" ht="16.5" hidden="false" customHeight="false" outlineLevel="0" collapsed="false">
      <c r="A12" s="14" t="s">
        <v>40</v>
      </c>
      <c r="B12" s="15" t="n">
        <v>400</v>
      </c>
      <c r="C12" s="15" t="n">
        <v>400</v>
      </c>
      <c r="D12" s="15" t="n">
        <v>400</v>
      </c>
      <c r="E12" s="15" t="n">
        <v>400</v>
      </c>
      <c r="F12" s="15" t="n">
        <v>400</v>
      </c>
      <c r="G12" s="15" t="n">
        <v>400</v>
      </c>
      <c r="H12" s="15" t="n">
        <v>400</v>
      </c>
      <c r="I12" s="15" t="n">
        <v>400</v>
      </c>
      <c r="J12" s="15" t="n">
        <v>400</v>
      </c>
      <c r="K12" s="15" t="n">
        <v>400</v>
      </c>
      <c r="L12" s="15" t="n">
        <v>400</v>
      </c>
      <c r="M12" s="15" t="n">
        <v>400</v>
      </c>
      <c r="N12" s="16" t="n">
        <f aca="false">IF($A12="","",SUM(B12:M12))</f>
        <v>4800</v>
      </c>
      <c r="O12" s="2"/>
    </row>
    <row r="13" customFormat="false" ht="16.5" hidden="false" customHeight="false" outlineLevel="0" collapsed="false">
      <c r="A13" s="14" t="s">
        <v>41</v>
      </c>
      <c r="B13" s="15" t="n">
        <v>250</v>
      </c>
      <c r="C13" s="15" t="n">
        <v>250</v>
      </c>
      <c r="D13" s="15" t="n">
        <v>250</v>
      </c>
      <c r="E13" s="15" t="n">
        <v>250</v>
      </c>
      <c r="F13" s="15" t="n">
        <v>250</v>
      </c>
      <c r="G13" s="15" t="n">
        <v>250</v>
      </c>
      <c r="H13" s="15" t="n">
        <v>250</v>
      </c>
      <c r="I13" s="15" t="n">
        <v>250</v>
      </c>
      <c r="J13" s="15" t="n">
        <v>250</v>
      </c>
      <c r="K13" s="15" t="n">
        <v>250</v>
      </c>
      <c r="L13" s="15" t="n">
        <v>250</v>
      </c>
      <c r="M13" s="15" t="n">
        <v>250</v>
      </c>
      <c r="N13" s="16" t="n">
        <f aca="false">IF($A13="","",SUM(B13:M13))</f>
        <v>3000</v>
      </c>
      <c r="O13" s="2"/>
    </row>
    <row r="14" customFormat="false" ht="16.5" hidden="false" customHeight="false" outlineLevel="0" collapsed="false">
      <c r="A14" s="14" t="s">
        <v>42</v>
      </c>
      <c r="B14" s="15" t="n">
        <v>350</v>
      </c>
      <c r="C14" s="15" t="n">
        <v>350</v>
      </c>
      <c r="D14" s="15" t="n">
        <v>350</v>
      </c>
      <c r="E14" s="15" t="n">
        <v>350</v>
      </c>
      <c r="F14" s="15" t="n">
        <v>350</v>
      </c>
      <c r="G14" s="15" t="n">
        <v>350</v>
      </c>
      <c r="H14" s="15" t="n">
        <v>350</v>
      </c>
      <c r="I14" s="15" t="n">
        <v>350</v>
      </c>
      <c r="J14" s="15" t="n">
        <v>350</v>
      </c>
      <c r="K14" s="15" t="n">
        <v>350</v>
      </c>
      <c r="L14" s="15" t="n">
        <v>350</v>
      </c>
      <c r="M14" s="15" t="n">
        <v>350</v>
      </c>
      <c r="N14" s="16" t="n">
        <f aca="false">IF($A14="","",SUM(B14:M14))</f>
        <v>4200</v>
      </c>
      <c r="O14" s="2"/>
    </row>
    <row r="15" customFormat="false" ht="16.5" hidden="false" customHeight="false" outlineLevel="0" collapsed="false">
      <c r="A15" s="14" t="s">
        <v>43</v>
      </c>
      <c r="B15" s="15" t="n">
        <v>180</v>
      </c>
      <c r="C15" s="15" t="n">
        <v>180</v>
      </c>
      <c r="D15" s="15" t="n">
        <v>180</v>
      </c>
      <c r="E15" s="15" t="n">
        <v>180</v>
      </c>
      <c r="F15" s="15" t="n">
        <v>180</v>
      </c>
      <c r="G15" s="15" t="n">
        <v>180</v>
      </c>
      <c r="H15" s="15" t="n">
        <v>180</v>
      </c>
      <c r="I15" s="15" t="n">
        <v>180</v>
      </c>
      <c r="J15" s="15" t="n">
        <v>180</v>
      </c>
      <c r="K15" s="15" t="n">
        <v>180</v>
      </c>
      <c r="L15" s="15" t="n">
        <v>180</v>
      </c>
      <c r="M15" s="15" t="n">
        <v>180</v>
      </c>
      <c r="N15" s="16" t="n">
        <f aca="false">IF($A15="","",SUM(B15:M15))</f>
        <v>2160</v>
      </c>
      <c r="O15" s="2"/>
    </row>
    <row r="16" customFormat="false" ht="16.5" hidden="false" customHeight="false" outlineLevel="0" collapsed="false">
      <c r="A16" s="14" t="s">
        <v>44</v>
      </c>
      <c r="B16" s="15" t="n">
        <v>250</v>
      </c>
      <c r="C16" s="15" t="n">
        <v>250</v>
      </c>
      <c r="D16" s="15" t="n">
        <v>250</v>
      </c>
      <c r="E16" s="15" t="n">
        <v>250</v>
      </c>
      <c r="F16" s="15" t="n">
        <v>250</v>
      </c>
      <c r="G16" s="15" t="n">
        <v>250</v>
      </c>
      <c r="H16" s="15" t="n">
        <v>250</v>
      </c>
      <c r="I16" s="15" t="n">
        <v>250</v>
      </c>
      <c r="J16" s="15" t="n">
        <v>250</v>
      </c>
      <c r="K16" s="15" t="n">
        <v>250</v>
      </c>
      <c r="L16" s="15" t="n">
        <v>250</v>
      </c>
      <c r="M16" s="15" t="n">
        <v>250</v>
      </c>
      <c r="N16" s="16" t="n">
        <f aca="false">IF($A16="","",SUM(B16:M16))</f>
        <v>3000</v>
      </c>
      <c r="O16" s="2"/>
    </row>
    <row r="17" customFormat="false" ht="16.5" hidden="false" customHeight="false" outlineLevel="0" collapsed="false">
      <c r="A17" s="14" t="s">
        <v>45</v>
      </c>
      <c r="B17" s="15" t="n">
        <v>200</v>
      </c>
      <c r="C17" s="15" t="n">
        <v>200</v>
      </c>
      <c r="D17" s="15" t="n">
        <v>200</v>
      </c>
      <c r="E17" s="15" t="n">
        <v>200</v>
      </c>
      <c r="F17" s="15" t="n">
        <v>200</v>
      </c>
      <c r="G17" s="15" t="n">
        <v>200</v>
      </c>
      <c r="H17" s="15" t="n">
        <v>200</v>
      </c>
      <c r="I17" s="15" t="n">
        <v>200</v>
      </c>
      <c r="J17" s="15" t="n">
        <v>200</v>
      </c>
      <c r="K17" s="15" t="n">
        <v>200</v>
      </c>
      <c r="L17" s="15" t="n">
        <v>200</v>
      </c>
      <c r="M17" s="15" t="n">
        <v>200</v>
      </c>
      <c r="N17" s="16" t="n">
        <f aca="false">IF($A17="","",SUM(B17:M17))</f>
        <v>2400</v>
      </c>
      <c r="O17" s="2"/>
    </row>
    <row r="18" customFormat="false" ht="16.5" hidden="false" customHeight="false" outlineLevel="0" collapsed="false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6" t="str">
        <f aca="false">IF($A18="","",SUM(B18:M18))</f>
        <v/>
      </c>
      <c r="O18" s="2"/>
    </row>
    <row r="19" customFormat="false" ht="16.5" hidden="false" customHeight="false" outlineLevel="0" collapsed="false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 t="str">
        <f aca="false">IF($A19="","",SUM(B19:M19))</f>
        <v/>
      </c>
      <c r="O19" s="2"/>
    </row>
    <row r="20" customFormat="false" ht="16.5" hidden="false" customHeight="false" outlineLevel="0" collapsed="false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 t="str">
        <f aca="false">IF($A20="","",SUM(B20:M20))</f>
        <v/>
      </c>
      <c r="O20" s="2"/>
    </row>
    <row r="21" customFormat="false" ht="16.5" hidden="false" customHeight="false" outlineLevel="0" collapsed="false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6" t="str">
        <f aca="false">IF($A21="","",SUM(B21:M21))</f>
        <v/>
      </c>
      <c r="O21" s="2"/>
    </row>
    <row r="22" customFormat="false" ht="16.5" hidden="false" customHeight="false" outlineLevel="0" collapsed="false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6" t="str">
        <f aca="false">IF($A22="","",SUM(B22:M22))</f>
        <v/>
      </c>
      <c r="O22" s="2"/>
    </row>
    <row r="23" customFormat="false" ht="16.5" hidden="false" customHeight="false" outlineLevel="0" collapsed="false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6" t="str">
        <f aca="false">IF($A23="","",SUM(B23:M23))</f>
        <v/>
      </c>
      <c r="O23" s="2"/>
    </row>
    <row r="24" customFormat="false" ht="16.5" hidden="false" customHeight="false" outlineLevel="0" collapsed="false">
      <c r="A24" s="17" t="s">
        <v>46</v>
      </c>
      <c r="B24" s="18" t="n">
        <f aca="false">SUM(B8:B23)</f>
        <v>10230</v>
      </c>
      <c r="C24" s="18" t="n">
        <f aca="false">SUM(C8:C23)</f>
        <v>10230</v>
      </c>
      <c r="D24" s="18" t="n">
        <f aca="false">SUM(D8:D23)</f>
        <v>10230</v>
      </c>
      <c r="E24" s="18" t="n">
        <f aca="false">SUM(E8:E23)</f>
        <v>10230</v>
      </c>
      <c r="F24" s="18" t="n">
        <f aca="false">SUM(F8:F23)</f>
        <v>10230</v>
      </c>
      <c r="G24" s="18" t="n">
        <f aca="false">SUM(G8:G23)</f>
        <v>10230</v>
      </c>
      <c r="H24" s="18" t="n">
        <f aca="false">SUM(H8:H23)</f>
        <v>10230</v>
      </c>
      <c r="I24" s="18" t="n">
        <f aca="false">SUM(I8:I23)</f>
        <v>10230</v>
      </c>
      <c r="J24" s="18" t="n">
        <f aca="false">SUM(J8:J23)</f>
        <v>10230</v>
      </c>
      <c r="K24" s="18" t="n">
        <f aca="false">SUM(K8:K23)</f>
        <v>10230</v>
      </c>
      <c r="L24" s="18" t="n">
        <f aca="false">SUM(L8:L23)</f>
        <v>10230</v>
      </c>
      <c r="M24" s="18" t="n">
        <f aca="false">SUM(M8:M23)</f>
        <v>10230</v>
      </c>
      <c r="N24" s="19" t="n">
        <f aca="false">SUM(N8:N23)</f>
        <v>122760</v>
      </c>
      <c r="O24" s="2"/>
    </row>
    <row r="25" customFormat="false" ht="16.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customFormat="false" ht="16.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customFormat="false" ht="16.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customFormat="false" ht="16.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</sheetData>
  <sheetProtection sheet="true" formatCells="false" formatColumns="false" formatRows="false"/>
  <mergeCells count="2">
    <mergeCell ref="A1:N1"/>
    <mergeCell ref="A2:N2"/>
  </mergeCell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4"/>
    <col collapsed="false" customWidth="true" hidden="false" outlineLevel="0" max="4" min="4" style="0" width="32"/>
    <col collapsed="false" customWidth="true" hidden="false" outlineLevel="0" max="5" min="5" style="0" width="13"/>
  </cols>
  <sheetData>
    <row r="1" customFormat="false" ht="25.5" hidden="false" customHeight="true" outlineLevel="0" collapsed="false">
      <c r="A1" s="1" t="s">
        <v>47</v>
      </c>
      <c r="B1" s="1"/>
      <c r="C1" s="1"/>
      <c r="D1" s="1"/>
      <c r="E1" s="1"/>
    </row>
    <row r="2" customFormat="false" ht="15.75" hidden="false" customHeight="true" outlineLevel="0" collapsed="false">
      <c r="A2" s="3" t="s">
        <v>48</v>
      </c>
      <c r="B2" s="3"/>
      <c r="C2" s="3"/>
      <c r="D2" s="3"/>
      <c r="E2" s="3"/>
    </row>
    <row r="4" customFormat="false" ht="16.5" hidden="false" customHeight="false" outlineLevel="0" collapsed="false">
      <c r="A4" s="20" t="s">
        <v>49</v>
      </c>
    </row>
    <row r="5" customFormat="false" ht="21.75" hidden="false" customHeight="true" outlineLevel="0" collapsed="false">
      <c r="A5" s="21" t="s">
        <v>50</v>
      </c>
      <c r="B5" s="21" t="s">
        <v>51</v>
      </c>
      <c r="C5" s="21" t="s">
        <v>22</v>
      </c>
      <c r="D5" s="21" t="s">
        <v>52</v>
      </c>
      <c r="E5" s="21" t="s">
        <v>53</v>
      </c>
    </row>
    <row r="6" customFormat="false" ht="16.5" hidden="false" customHeight="false" outlineLevel="0" collapsed="false">
      <c r="A6" s="22" t="n">
        <v>46204</v>
      </c>
      <c r="B6" s="23" t="s">
        <v>54</v>
      </c>
      <c r="C6" s="23" t="s">
        <v>36</v>
      </c>
      <c r="D6" s="23" t="s">
        <v>55</v>
      </c>
      <c r="E6" s="24" t="n">
        <v>6500</v>
      </c>
    </row>
    <row r="7" customFormat="false" ht="16.5" hidden="false" customHeight="false" outlineLevel="0" collapsed="false">
      <c r="A7" s="25" t="n">
        <v>46206</v>
      </c>
      <c r="B7" s="26" t="s">
        <v>56</v>
      </c>
      <c r="C7" s="26" t="s">
        <v>37</v>
      </c>
      <c r="D7" s="26" t="s">
        <v>57</v>
      </c>
      <c r="E7" s="27" t="n">
        <v>1200</v>
      </c>
    </row>
    <row r="8" customFormat="false" ht="16.5" hidden="false" customHeight="false" outlineLevel="0" collapsed="false">
      <c r="A8" s="22" t="n">
        <v>46208</v>
      </c>
      <c r="B8" s="23" t="s">
        <v>58</v>
      </c>
      <c r="C8" s="23" t="s">
        <v>38</v>
      </c>
      <c r="D8" s="23" t="s">
        <v>59</v>
      </c>
      <c r="E8" s="24" t="n">
        <v>240</v>
      </c>
    </row>
    <row r="9" customFormat="false" ht="16.5" hidden="false" customHeight="false" outlineLevel="0" collapsed="false">
      <c r="A9" s="25" t="n">
        <v>46215</v>
      </c>
      <c r="B9" s="26" t="s">
        <v>60</v>
      </c>
      <c r="C9" s="26" t="s">
        <v>39</v>
      </c>
      <c r="D9" s="26" t="s">
        <v>61</v>
      </c>
      <c r="E9" s="27" t="n">
        <v>450</v>
      </c>
    </row>
    <row r="10" customFormat="false" ht="16.5" hidden="false" customHeight="false" outlineLevel="0" collapsed="false">
      <c r="A10" s="22" t="n">
        <v>46222</v>
      </c>
      <c r="B10" s="23" t="s">
        <v>62</v>
      </c>
      <c r="C10" s="23" t="s">
        <v>40</v>
      </c>
      <c r="D10" s="23" t="s">
        <v>63</v>
      </c>
      <c r="E10" s="24" t="n">
        <v>380</v>
      </c>
    </row>
    <row r="11" customFormat="false" ht="16.5" hidden="false" customHeight="false" outlineLevel="0" collapsed="false">
      <c r="A11" s="25" t="n">
        <v>46235</v>
      </c>
      <c r="B11" s="26" t="s">
        <v>54</v>
      </c>
      <c r="C11" s="26" t="s">
        <v>36</v>
      </c>
      <c r="D11" s="26" t="s">
        <v>64</v>
      </c>
      <c r="E11" s="27" t="n">
        <v>6500</v>
      </c>
    </row>
    <row r="12" customFormat="false" ht="16.5" hidden="false" customHeight="false" outlineLevel="0" collapsed="false">
      <c r="A12" s="22" t="n">
        <v>46237</v>
      </c>
      <c r="B12" s="23" t="s">
        <v>56</v>
      </c>
      <c r="C12" s="23" t="s">
        <v>37</v>
      </c>
      <c r="D12" s="23" t="s">
        <v>57</v>
      </c>
      <c r="E12" s="24" t="n">
        <v>1200</v>
      </c>
    </row>
    <row r="13" customFormat="false" ht="16.5" hidden="false" customHeight="false" outlineLevel="0" collapsed="false">
      <c r="A13" s="25" t="n">
        <v>46243</v>
      </c>
      <c r="B13" s="26" t="s">
        <v>65</v>
      </c>
      <c r="C13" s="26" t="s">
        <v>41</v>
      </c>
      <c r="D13" s="26" t="s">
        <v>66</v>
      </c>
      <c r="E13" s="27" t="n">
        <v>899</v>
      </c>
    </row>
    <row r="14" customFormat="false" ht="16.5" hidden="false" customHeight="false" outlineLevel="0" collapsed="false">
      <c r="A14" s="22"/>
      <c r="B14" s="23"/>
      <c r="C14" s="23"/>
      <c r="D14" s="23"/>
      <c r="E14" s="24"/>
    </row>
    <row r="15" customFormat="false" ht="16.5" hidden="false" customHeight="false" outlineLevel="0" collapsed="false">
      <c r="A15" s="25"/>
      <c r="B15" s="26"/>
      <c r="C15" s="26"/>
      <c r="D15" s="26"/>
      <c r="E15" s="27"/>
    </row>
    <row r="16" customFormat="false" ht="16.5" hidden="false" customHeight="false" outlineLevel="0" collapsed="false">
      <c r="A16" s="22"/>
      <c r="B16" s="23"/>
      <c r="C16" s="23"/>
      <c r="D16" s="23"/>
      <c r="E16" s="24"/>
    </row>
    <row r="17" customFormat="false" ht="16.5" hidden="false" customHeight="false" outlineLevel="0" collapsed="false">
      <c r="A17" s="25"/>
      <c r="B17" s="26"/>
      <c r="C17" s="26"/>
      <c r="D17" s="26"/>
      <c r="E17" s="27"/>
    </row>
    <row r="18" customFormat="false" ht="16.5" hidden="false" customHeight="false" outlineLevel="0" collapsed="false">
      <c r="A18" s="22"/>
      <c r="B18" s="23"/>
      <c r="C18" s="23"/>
      <c r="D18" s="23"/>
      <c r="E18" s="24"/>
    </row>
    <row r="19" customFormat="false" ht="16.5" hidden="false" customHeight="false" outlineLevel="0" collapsed="false">
      <c r="A19" s="25"/>
      <c r="B19" s="26"/>
      <c r="C19" s="26"/>
      <c r="D19" s="26"/>
      <c r="E19" s="27"/>
    </row>
    <row r="20" customFormat="false" ht="16.5" hidden="false" customHeight="false" outlineLevel="0" collapsed="false">
      <c r="A20" s="22"/>
      <c r="B20" s="23"/>
      <c r="C20" s="23"/>
      <c r="D20" s="23"/>
      <c r="E20" s="24"/>
    </row>
    <row r="21" customFormat="false" ht="16.5" hidden="false" customHeight="false" outlineLevel="0" collapsed="false">
      <c r="A21" s="25"/>
      <c r="B21" s="26"/>
      <c r="C21" s="26"/>
      <c r="D21" s="26"/>
      <c r="E21" s="27"/>
    </row>
    <row r="22" customFormat="false" ht="16.5" hidden="false" customHeight="false" outlineLevel="0" collapsed="false">
      <c r="A22" s="22"/>
      <c r="B22" s="23"/>
      <c r="C22" s="23"/>
      <c r="D22" s="23"/>
      <c r="E22" s="24"/>
    </row>
    <row r="23" customFormat="false" ht="16.5" hidden="false" customHeight="false" outlineLevel="0" collapsed="false">
      <c r="A23" s="25"/>
      <c r="B23" s="26"/>
      <c r="C23" s="26"/>
      <c r="D23" s="26"/>
      <c r="E23" s="27"/>
    </row>
    <row r="24" customFormat="false" ht="16.5" hidden="false" customHeight="false" outlineLevel="0" collapsed="false">
      <c r="A24" s="22"/>
      <c r="B24" s="23"/>
      <c r="C24" s="23"/>
      <c r="D24" s="23"/>
      <c r="E24" s="24"/>
    </row>
    <row r="25" customFormat="false" ht="16.5" hidden="false" customHeight="false" outlineLevel="0" collapsed="false">
      <c r="A25" s="25"/>
      <c r="B25" s="26"/>
      <c r="C25" s="26"/>
      <c r="D25" s="26"/>
      <c r="E25" s="27"/>
    </row>
    <row r="26" customFormat="false" ht="16.5" hidden="false" customHeight="false" outlineLevel="0" collapsed="false">
      <c r="A26" s="22"/>
      <c r="B26" s="23"/>
      <c r="C26" s="23"/>
      <c r="D26" s="23"/>
      <c r="E26" s="24"/>
    </row>
    <row r="27" customFormat="false" ht="16.5" hidden="false" customHeight="false" outlineLevel="0" collapsed="false">
      <c r="A27" s="25"/>
      <c r="B27" s="26"/>
      <c r="C27" s="26"/>
      <c r="D27" s="26"/>
      <c r="E27" s="27"/>
    </row>
    <row r="28" customFormat="false" ht="16.5" hidden="false" customHeight="false" outlineLevel="0" collapsed="false">
      <c r="A28" s="22"/>
      <c r="B28" s="23"/>
      <c r="C28" s="23"/>
      <c r="D28" s="23"/>
      <c r="E28" s="24"/>
    </row>
    <row r="29" customFormat="false" ht="16.5" hidden="false" customHeight="false" outlineLevel="0" collapsed="false">
      <c r="A29" s="25"/>
      <c r="B29" s="26"/>
      <c r="C29" s="26"/>
      <c r="D29" s="26"/>
      <c r="E29" s="27"/>
    </row>
    <row r="30" customFormat="false" ht="16.5" hidden="false" customHeight="false" outlineLevel="0" collapsed="false">
      <c r="A30" s="22"/>
      <c r="B30" s="23"/>
      <c r="C30" s="23"/>
      <c r="D30" s="23"/>
      <c r="E30" s="24"/>
    </row>
    <row r="31" customFormat="false" ht="16.5" hidden="false" customHeight="false" outlineLevel="0" collapsed="false">
      <c r="A31" s="25"/>
      <c r="B31" s="26"/>
      <c r="C31" s="26"/>
      <c r="D31" s="26"/>
      <c r="E31" s="27"/>
    </row>
    <row r="32" customFormat="false" ht="16.5" hidden="false" customHeight="false" outlineLevel="0" collapsed="false">
      <c r="A32" s="22"/>
      <c r="B32" s="23"/>
      <c r="C32" s="23"/>
      <c r="D32" s="23"/>
      <c r="E32" s="24"/>
    </row>
    <row r="33" customFormat="false" ht="16.5" hidden="false" customHeight="false" outlineLevel="0" collapsed="false">
      <c r="A33" s="25"/>
      <c r="B33" s="26"/>
      <c r="C33" s="26"/>
      <c r="D33" s="26"/>
      <c r="E33" s="27"/>
    </row>
    <row r="34" customFormat="false" ht="16.5" hidden="false" customHeight="false" outlineLevel="0" collapsed="false">
      <c r="A34" s="22"/>
      <c r="B34" s="23"/>
      <c r="C34" s="23"/>
      <c r="D34" s="23"/>
      <c r="E34" s="24"/>
    </row>
    <row r="35" customFormat="false" ht="16.5" hidden="false" customHeight="false" outlineLevel="0" collapsed="false">
      <c r="A35" s="25"/>
      <c r="B35" s="26"/>
      <c r="C35" s="26"/>
      <c r="D35" s="26"/>
      <c r="E35" s="27"/>
    </row>
    <row r="36" customFormat="false" ht="16.5" hidden="false" customHeight="false" outlineLevel="0" collapsed="false">
      <c r="A36" s="22"/>
      <c r="B36" s="23"/>
      <c r="C36" s="23"/>
      <c r="D36" s="23"/>
      <c r="E36" s="24"/>
    </row>
    <row r="37" customFormat="false" ht="16.5" hidden="false" customHeight="false" outlineLevel="0" collapsed="false">
      <c r="A37" s="25"/>
      <c r="B37" s="26"/>
      <c r="C37" s="26"/>
      <c r="D37" s="26"/>
      <c r="E37" s="27"/>
    </row>
    <row r="38" customFormat="false" ht="16.5" hidden="false" customHeight="false" outlineLevel="0" collapsed="false">
      <c r="A38" s="22"/>
      <c r="B38" s="23"/>
      <c r="C38" s="23"/>
      <c r="D38" s="23"/>
      <c r="E38" s="24"/>
    </row>
    <row r="39" customFormat="false" ht="16.5" hidden="false" customHeight="false" outlineLevel="0" collapsed="false">
      <c r="A39" s="25"/>
      <c r="B39" s="26"/>
      <c r="C39" s="26"/>
      <c r="D39" s="26"/>
      <c r="E39" s="27"/>
    </row>
    <row r="40" customFormat="false" ht="16.5" hidden="false" customHeight="false" outlineLevel="0" collapsed="false">
      <c r="A40" s="22"/>
      <c r="B40" s="23"/>
      <c r="C40" s="23"/>
      <c r="D40" s="23"/>
      <c r="E40" s="24"/>
    </row>
    <row r="41" customFormat="false" ht="16.5" hidden="false" customHeight="false" outlineLevel="0" collapsed="false">
      <c r="A41" s="25"/>
      <c r="B41" s="26"/>
      <c r="C41" s="26"/>
      <c r="D41" s="26"/>
      <c r="E41" s="27"/>
    </row>
    <row r="42" customFormat="false" ht="16.5" hidden="false" customHeight="false" outlineLevel="0" collapsed="false">
      <c r="A42" s="22"/>
      <c r="B42" s="23"/>
      <c r="C42" s="23"/>
      <c r="D42" s="23"/>
      <c r="E42" s="24"/>
    </row>
    <row r="43" customFormat="false" ht="16.5" hidden="false" customHeight="false" outlineLevel="0" collapsed="false">
      <c r="A43" s="25"/>
      <c r="B43" s="26"/>
      <c r="C43" s="26"/>
      <c r="D43" s="26"/>
      <c r="E43" s="27"/>
    </row>
    <row r="44" customFormat="false" ht="16.5" hidden="false" customHeight="false" outlineLevel="0" collapsed="false">
      <c r="A44" s="22"/>
      <c r="B44" s="23"/>
      <c r="C44" s="23"/>
      <c r="D44" s="23"/>
      <c r="E44" s="24"/>
    </row>
    <row r="45" customFormat="false" ht="16.5" hidden="false" customHeight="false" outlineLevel="0" collapsed="false">
      <c r="A45" s="25"/>
      <c r="B45" s="26"/>
      <c r="C45" s="26"/>
      <c r="D45" s="26"/>
      <c r="E45" s="27"/>
    </row>
    <row r="46" customFormat="false" ht="16.5" hidden="false" customHeight="false" outlineLevel="0" collapsed="false">
      <c r="A46" s="22"/>
      <c r="B46" s="23"/>
      <c r="C46" s="23"/>
      <c r="D46" s="23"/>
      <c r="E46" s="24"/>
    </row>
    <row r="47" customFormat="false" ht="16.5" hidden="false" customHeight="false" outlineLevel="0" collapsed="false">
      <c r="A47" s="25"/>
      <c r="B47" s="26"/>
      <c r="C47" s="26"/>
      <c r="D47" s="26"/>
      <c r="E47" s="27"/>
    </row>
    <row r="48" customFormat="false" ht="16.5" hidden="false" customHeight="false" outlineLevel="0" collapsed="false">
      <c r="A48" s="22"/>
      <c r="B48" s="23"/>
      <c r="C48" s="23"/>
      <c r="D48" s="23"/>
      <c r="E48" s="24"/>
    </row>
    <row r="49" customFormat="false" ht="16.5" hidden="false" customHeight="false" outlineLevel="0" collapsed="false">
      <c r="A49" s="25"/>
      <c r="B49" s="26"/>
      <c r="C49" s="26"/>
      <c r="D49" s="26"/>
      <c r="E49" s="27"/>
    </row>
    <row r="50" customFormat="false" ht="16.5" hidden="false" customHeight="false" outlineLevel="0" collapsed="false">
      <c r="A50" s="22"/>
      <c r="B50" s="23"/>
      <c r="C50" s="23"/>
      <c r="D50" s="23"/>
      <c r="E50" s="24"/>
    </row>
    <row r="51" customFormat="false" ht="16.5" hidden="false" customHeight="false" outlineLevel="0" collapsed="false">
      <c r="A51" s="25"/>
      <c r="B51" s="26"/>
      <c r="C51" s="26"/>
      <c r="D51" s="26"/>
      <c r="E51" s="27"/>
    </row>
    <row r="52" customFormat="false" ht="16.5" hidden="false" customHeight="false" outlineLevel="0" collapsed="false">
      <c r="A52" s="22"/>
      <c r="B52" s="23"/>
      <c r="C52" s="23"/>
      <c r="D52" s="23"/>
      <c r="E52" s="24"/>
    </row>
    <row r="53" customFormat="false" ht="16.5" hidden="false" customHeight="false" outlineLevel="0" collapsed="false">
      <c r="A53" s="25"/>
      <c r="B53" s="26"/>
      <c r="C53" s="26"/>
      <c r="D53" s="26"/>
      <c r="E53" s="27"/>
    </row>
    <row r="54" customFormat="false" ht="16.5" hidden="false" customHeight="false" outlineLevel="0" collapsed="false">
      <c r="A54" s="22"/>
      <c r="B54" s="23"/>
      <c r="C54" s="23"/>
      <c r="D54" s="23"/>
      <c r="E54" s="24"/>
    </row>
    <row r="55" customFormat="false" ht="16.5" hidden="false" customHeight="false" outlineLevel="0" collapsed="false">
      <c r="A55" s="25"/>
      <c r="B55" s="26"/>
      <c r="C55" s="26"/>
      <c r="D55" s="26"/>
      <c r="E55" s="27"/>
    </row>
    <row r="56" customFormat="false" ht="16.5" hidden="false" customHeight="false" outlineLevel="0" collapsed="false">
      <c r="A56" s="22"/>
      <c r="B56" s="23"/>
      <c r="C56" s="23"/>
      <c r="D56" s="23"/>
      <c r="E56" s="24"/>
    </row>
    <row r="57" customFormat="false" ht="16.5" hidden="false" customHeight="false" outlineLevel="0" collapsed="false">
      <c r="A57" s="25"/>
      <c r="B57" s="26"/>
      <c r="C57" s="26"/>
      <c r="D57" s="26"/>
      <c r="E57" s="27"/>
    </row>
    <row r="58" customFormat="false" ht="16.5" hidden="false" customHeight="false" outlineLevel="0" collapsed="false">
      <c r="A58" s="22"/>
      <c r="B58" s="23"/>
      <c r="C58" s="23"/>
      <c r="D58" s="23"/>
      <c r="E58" s="24"/>
    </row>
    <row r="59" customFormat="false" ht="16.5" hidden="false" customHeight="false" outlineLevel="0" collapsed="false">
      <c r="A59" s="25"/>
      <c r="B59" s="26"/>
      <c r="C59" s="26"/>
      <c r="D59" s="26"/>
      <c r="E59" s="27"/>
    </row>
    <row r="60" customFormat="false" ht="16.5" hidden="false" customHeight="false" outlineLevel="0" collapsed="false">
      <c r="A60" s="22"/>
      <c r="B60" s="23"/>
      <c r="C60" s="23"/>
      <c r="D60" s="23"/>
      <c r="E60" s="24"/>
    </row>
    <row r="61" customFormat="false" ht="16.5" hidden="false" customHeight="false" outlineLevel="0" collapsed="false">
      <c r="A61" s="25"/>
      <c r="B61" s="26"/>
      <c r="C61" s="26"/>
      <c r="D61" s="26"/>
      <c r="E61" s="27"/>
    </row>
    <row r="62" customFormat="false" ht="16.5" hidden="false" customHeight="false" outlineLevel="0" collapsed="false">
      <c r="A62" s="22"/>
      <c r="B62" s="23"/>
      <c r="C62" s="23"/>
      <c r="D62" s="23"/>
      <c r="E62" s="24"/>
    </row>
    <row r="63" customFormat="false" ht="16.5" hidden="false" customHeight="false" outlineLevel="0" collapsed="false">
      <c r="A63" s="25"/>
      <c r="B63" s="26"/>
      <c r="C63" s="26"/>
      <c r="D63" s="26"/>
      <c r="E63" s="27"/>
    </row>
    <row r="64" customFormat="false" ht="16.5" hidden="false" customHeight="false" outlineLevel="0" collapsed="false">
      <c r="A64" s="22"/>
      <c r="B64" s="23"/>
      <c r="C64" s="23"/>
      <c r="D64" s="23"/>
      <c r="E64" s="24"/>
    </row>
    <row r="65" customFormat="false" ht="16.5" hidden="false" customHeight="false" outlineLevel="0" collapsed="false">
      <c r="A65" s="25"/>
      <c r="B65" s="26"/>
      <c r="C65" s="26"/>
      <c r="D65" s="26"/>
      <c r="E65" s="27"/>
    </row>
    <row r="66" customFormat="false" ht="16.5" hidden="false" customHeight="false" outlineLevel="0" collapsed="false">
      <c r="A66" s="22"/>
      <c r="B66" s="23"/>
      <c r="C66" s="23"/>
      <c r="D66" s="23"/>
      <c r="E66" s="24"/>
    </row>
    <row r="67" customFormat="false" ht="16.5" hidden="false" customHeight="false" outlineLevel="0" collapsed="false">
      <c r="A67" s="25"/>
      <c r="B67" s="26"/>
      <c r="C67" s="26"/>
      <c r="D67" s="26"/>
      <c r="E67" s="27"/>
    </row>
    <row r="68" customFormat="false" ht="16.5" hidden="false" customHeight="false" outlineLevel="0" collapsed="false">
      <c r="A68" s="22"/>
      <c r="B68" s="23"/>
      <c r="C68" s="23"/>
      <c r="D68" s="23"/>
      <c r="E68" s="24"/>
    </row>
    <row r="69" customFormat="false" ht="16.5" hidden="false" customHeight="false" outlineLevel="0" collapsed="false">
      <c r="A69" s="25"/>
      <c r="B69" s="26"/>
      <c r="C69" s="26"/>
      <c r="D69" s="26"/>
      <c r="E69" s="27"/>
    </row>
    <row r="70" customFormat="false" ht="16.5" hidden="false" customHeight="false" outlineLevel="0" collapsed="false">
      <c r="A70" s="22"/>
      <c r="B70" s="23"/>
      <c r="C70" s="23"/>
      <c r="D70" s="23"/>
      <c r="E70" s="24"/>
    </row>
    <row r="71" customFormat="false" ht="16.5" hidden="false" customHeight="false" outlineLevel="0" collapsed="false">
      <c r="A71" s="25"/>
      <c r="B71" s="26"/>
      <c r="C71" s="26"/>
      <c r="D71" s="26"/>
      <c r="E71" s="27"/>
    </row>
    <row r="72" customFormat="false" ht="16.5" hidden="false" customHeight="false" outlineLevel="0" collapsed="false">
      <c r="A72" s="22"/>
      <c r="B72" s="23"/>
      <c r="C72" s="23"/>
      <c r="D72" s="23"/>
      <c r="E72" s="24"/>
    </row>
    <row r="73" customFormat="false" ht="16.5" hidden="false" customHeight="false" outlineLevel="0" collapsed="false">
      <c r="A73" s="25"/>
      <c r="B73" s="26"/>
      <c r="C73" s="26"/>
      <c r="D73" s="26"/>
      <c r="E73" s="27"/>
    </row>
    <row r="74" customFormat="false" ht="16.5" hidden="false" customHeight="false" outlineLevel="0" collapsed="false">
      <c r="A74" s="22"/>
      <c r="B74" s="23"/>
      <c r="C74" s="23"/>
      <c r="D74" s="23"/>
      <c r="E74" s="24"/>
    </row>
    <row r="75" customFormat="false" ht="16.5" hidden="false" customHeight="false" outlineLevel="0" collapsed="false">
      <c r="A75" s="25"/>
      <c r="B75" s="26"/>
      <c r="C75" s="26"/>
      <c r="D75" s="26"/>
      <c r="E75" s="27"/>
    </row>
    <row r="76" customFormat="false" ht="16.5" hidden="false" customHeight="false" outlineLevel="0" collapsed="false">
      <c r="A76" s="22"/>
      <c r="B76" s="23"/>
      <c r="C76" s="23"/>
      <c r="D76" s="23"/>
      <c r="E76" s="24"/>
    </row>
    <row r="77" customFormat="false" ht="16.5" hidden="false" customHeight="false" outlineLevel="0" collapsed="false">
      <c r="A77" s="25"/>
      <c r="B77" s="26"/>
      <c r="C77" s="26"/>
      <c r="D77" s="26"/>
      <c r="E77" s="27"/>
    </row>
    <row r="78" customFormat="false" ht="16.5" hidden="false" customHeight="false" outlineLevel="0" collapsed="false">
      <c r="A78" s="22"/>
      <c r="B78" s="23"/>
      <c r="C78" s="23"/>
      <c r="D78" s="23"/>
      <c r="E78" s="24"/>
    </row>
    <row r="79" customFormat="false" ht="16.5" hidden="false" customHeight="false" outlineLevel="0" collapsed="false">
      <c r="A79" s="25"/>
      <c r="B79" s="26"/>
      <c r="C79" s="26"/>
      <c r="D79" s="26"/>
      <c r="E79" s="27"/>
    </row>
    <row r="80" customFormat="false" ht="16.5" hidden="false" customHeight="false" outlineLevel="0" collapsed="false">
      <c r="A80" s="22"/>
      <c r="B80" s="23"/>
      <c r="C80" s="23"/>
      <c r="D80" s="23"/>
      <c r="E80" s="24"/>
    </row>
    <row r="81" customFormat="false" ht="16.5" hidden="false" customHeight="false" outlineLevel="0" collapsed="false">
      <c r="A81" s="25"/>
      <c r="B81" s="26"/>
      <c r="C81" s="26"/>
      <c r="D81" s="26"/>
      <c r="E81" s="27"/>
    </row>
    <row r="82" customFormat="false" ht="16.5" hidden="false" customHeight="false" outlineLevel="0" collapsed="false">
      <c r="A82" s="22"/>
      <c r="B82" s="23"/>
      <c r="C82" s="23"/>
      <c r="D82" s="23"/>
      <c r="E82" s="24"/>
    </row>
    <row r="83" customFormat="false" ht="16.5" hidden="false" customHeight="false" outlineLevel="0" collapsed="false">
      <c r="A83" s="25"/>
      <c r="B83" s="26"/>
      <c r="C83" s="26"/>
      <c r="D83" s="26"/>
      <c r="E83" s="27"/>
    </row>
    <row r="84" customFormat="false" ht="16.5" hidden="false" customHeight="false" outlineLevel="0" collapsed="false">
      <c r="A84" s="22"/>
      <c r="B84" s="23"/>
      <c r="C84" s="23"/>
      <c r="D84" s="23"/>
      <c r="E84" s="24"/>
    </row>
    <row r="85" customFormat="false" ht="16.5" hidden="false" customHeight="false" outlineLevel="0" collapsed="false">
      <c r="A85" s="25"/>
      <c r="B85" s="26"/>
      <c r="C85" s="26"/>
      <c r="D85" s="26"/>
      <c r="E85" s="27"/>
    </row>
    <row r="86" customFormat="false" ht="16.5" hidden="false" customHeight="false" outlineLevel="0" collapsed="false">
      <c r="A86" s="22"/>
      <c r="B86" s="23"/>
      <c r="C86" s="23"/>
      <c r="D86" s="23"/>
      <c r="E86" s="24"/>
    </row>
    <row r="87" customFormat="false" ht="16.5" hidden="false" customHeight="false" outlineLevel="0" collapsed="false">
      <c r="A87" s="25"/>
      <c r="B87" s="26"/>
      <c r="C87" s="26"/>
      <c r="D87" s="26"/>
      <c r="E87" s="27"/>
    </row>
    <row r="88" customFormat="false" ht="16.5" hidden="false" customHeight="false" outlineLevel="0" collapsed="false">
      <c r="A88" s="22"/>
      <c r="B88" s="23"/>
      <c r="C88" s="23"/>
      <c r="D88" s="23"/>
      <c r="E88" s="24"/>
    </row>
    <row r="89" customFormat="false" ht="16.5" hidden="false" customHeight="false" outlineLevel="0" collapsed="false">
      <c r="A89" s="25"/>
      <c r="B89" s="26"/>
      <c r="C89" s="26"/>
      <c r="D89" s="26"/>
      <c r="E89" s="27"/>
    </row>
    <row r="90" customFormat="false" ht="16.5" hidden="false" customHeight="false" outlineLevel="0" collapsed="false">
      <c r="A90" s="22"/>
      <c r="B90" s="23"/>
      <c r="C90" s="23"/>
      <c r="D90" s="23"/>
      <c r="E90" s="24"/>
    </row>
    <row r="91" customFormat="false" ht="16.5" hidden="false" customHeight="false" outlineLevel="0" collapsed="false">
      <c r="A91" s="25"/>
      <c r="B91" s="26"/>
      <c r="C91" s="26"/>
      <c r="D91" s="26"/>
      <c r="E91" s="27"/>
    </row>
    <row r="92" customFormat="false" ht="16.5" hidden="false" customHeight="false" outlineLevel="0" collapsed="false">
      <c r="A92" s="22"/>
      <c r="B92" s="23"/>
      <c r="C92" s="23"/>
      <c r="D92" s="23"/>
      <c r="E92" s="24"/>
    </row>
    <row r="93" customFormat="false" ht="16.5" hidden="false" customHeight="false" outlineLevel="0" collapsed="false">
      <c r="A93" s="25"/>
      <c r="B93" s="26"/>
      <c r="C93" s="26"/>
      <c r="D93" s="26"/>
      <c r="E93" s="27"/>
    </row>
    <row r="94" customFormat="false" ht="16.5" hidden="false" customHeight="false" outlineLevel="0" collapsed="false">
      <c r="A94" s="22"/>
      <c r="B94" s="23"/>
      <c r="C94" s="23"/>
      <c r="D94" s="23"/>
      <c r="E94" s="24"/>
    </row>
    <row r="95" customFormat="false" ht="16.5" hidden="false" customHeight="false" outlineLevel="0" collapsed="false">
      <c r="A95" s="25"/>
      <c r="B95" s="26"/>
      <c r="C95" s="26"/>
      <c r="D95" s="26"/>
      <c r="E95" s="27"/>
    </row>
    <row r="96" customFormat="false" ht="16.5" hidden="false" customHeight="false" outlineLevel="0" collapsed="false">
      <c r="A96" s="22"/>
      <c r="B96" s="23"/>
      <c r="C96" s="23"/>
      <c r="D96" s="23"/>
      <c r="E96" s="24"/>
    </row>
    <row r="97" customFormat="false" ht="16.5" hidden="false" customHeight="false" outlineLevel="0" collapsed="false">
      <c r="A97" s="25"/>
      <c r="B97" s="26"/>
      <c r="C97" s="26"/>
      <c r="D97" s="26"/>
      <c r="E97" s="27"/>
    </row>
    <row r="98" customFormat="false" ht="16.5" hidden="false" customHeight="false" outlineLevel="0" collapsed="false">
      <c r="A98" s="22"/>
      <c r="B98" s="23"/>
      <c r="C98" s="23"/>
      <c r="D98" s="23"/>
      <c r="E98" s="24"/>
    </row>
    <row r="99" customFormat="false" ht="16.5" hidden="false" customHeight="false" outlineLevel="0" collapsed="false">
      <c r="A99" s="25"/>
      <c r="B99" s="26"/>
      <c r="C99" s="26"/>
      <c r="D99" s="26"/>
      <c r="E99" s="27"/>
    </row>
    <row r="100" customFormat="false" ht="16.5" hidden="false" customHeight="false" outlineLevel="0" collapsed="false">
      <c r="A100" s="22"/>
      <c r="B100" s="23"/>
      <c r="C100" s="23"/>
      <c r="D100" s="23"/>
      <c r="E100" s="24"/>
    </row>
    <row r="101" customFormat="false" ht="16.5" hidden="false" customHeight="false" outlineLevel="0" collapsed="false">
      <c r="A101" s="25"/>
      <c r="B101" s="26"/>
      <c r="C101" s="26"/>
      <c r="D101" s="26"/>
      <c r="E101" s="27"/>
    </row>
    <row r="102" customFormat="false" ht="16.5" hidden="false" customHeight="false" outlineLevel="0" collapsed="false">
      <c r="A102" s="22"/>
      <c r="B102" s="23"/>
      <c r="C102" s="23"/>
      <c r="D102" s="23"/>
      <c r="E102" s="24"/>
    </row>
    <row r="103" customFormat="false" ht="16.5" hidden="false" customHeight="false" outlineLevel="0" collapsed="false">
      <c r="A103" s="25"/>
      <c r="B103" s="26"/>
      <c r="C103" s="26"/>
      <c r="D103" s="26"/>
      <c r="E103" s="27"/>
    </row>
    <row r="104" customFormat="false" ht="16.5" hidden="false" customHeight="false" outlineLevel="0" collapsed="false">
      <c r="A104" s="22"/>
      <c r="B104" s="23"/>
      <c r="C104" s="23"/>
      <c r="D104" s="23"/>
      <c r="E104" s="24"/>
    </row>
    <row r="105" customFormat="false" ht="16.5" hidden="false" customHeight="false" outlineLevel="0" collapsed="false">
      <c r="A105" s="25"/>
      <c r="B105" s="26"/>
      <c r="C105" s="26"/>
      <c r="D105" s="26"/>
      <c r="E105" s="27"/>
    </row>
    <row r="106" customFormat="false" ht="16.5" hidden="false" customHeight="false" outlineLevel="0" collapsed="false">
      <c r="A106" s="22"/>
      <c r="B106" s="23"/>
      <c r="C106" s="23"/>
      <c r="D106" s="23"/>
      <c r="E106" s="24"/>
    </row>
    <row r="107" customFormat="false" ht="16.5" hidden="false" customHeight="false" outlineLevel="0" collapsed="false">
      <c r="A107" s="25"/>
      <c r="B107" s="26"/>
      <c r="C107" s="26"/>
      <c r="D107" s="26"/>
      <c r="E107" s="27"/>
    </row>
    <row r="108" customFormat="false" ht="16.5" hidden="false" customHeight="false" outlineLevel="0" collapsed="false">
      <c r="A108" s="22"/>
      <c r="B108" s="23"/>
      <c r="C108" s="23"/>
      <c r="D108" s="23"/>
      <c r="E108" s="24"/>
    </row>
    <row r="109" customFormat="false" ht="16.5" hidden="false" customHeight="false" outlineLevel="0" collapsed="false">
      <c r="A109" s="25"/>
      <c r="B109" s="26"/>
      <c r="C109" s="26"/>
      <c r="D109" s="26"/>
      <c r="E109" s="27"/>
    </row>
    <row r="110" customFormat="false" ht="16.5" hidden="false" customHeight="false" outlineLevel="0" collapsed="false">
      <c r="A110" s="22"/>
      <c r="B110" s="23"/>
      <c r="C110" s="23"/>
      <c r="D110" s="23"/>
      <c r="E110" s="24"/>
    </row>
    <row r="111" customFormat="false" ht="16.5" hidden="false" customHeight="false" outlineLevel="0" collapsed="false">
      <c r="A111" s="25"/>
      <c r="B111" s="26"/>
      <c r="C111" s="26"/>
      <c r="D111" s="26"/>
      <c r="E111" s="27"/>
    </row>
    <row r="112" customFormat="false" ht="16.5" hidden="false" customHeight="false" outlineLevel="0" collapsed="false">
      <c r="A112" s="22"/>
      <c r="B112" s="23"/>
      <c r="C112" s="23"/>
      <c r="D112" s="23"/>
      <c r="E112" s="24"/>
    </row>
    <row r="113" customFormat="false" ht="16.5" hidden="false" customHeight="false" outlineLevel="0" collapsed="false">
      <c r="A113" s="25"/>
      <c r="B113" s="26"/>
      <c r="C113" s="26"/>
      <c r="D113" s="26"/>
      <c r="E113" s="27"/>
    </row>
    <row r="114" customFormat="false" ht="16.5" hidden="false" customHeight="false" outlineLevel="0" collapsed="false">
      <c r="A114" s="22"/>
      <c r="B114" s="23"/>
      <c r="C114" s="23"/>
      <c r="D114" s="23"/>
      <c r="E114" s="24"/>
    </row>
    <row r="115" customFormat="false" ht="16.5" hidden="false" customHeight="false" outlineLevel="0" collapsed="false">
      <c r="A115" s="25"/>
      <c r="B115" s="26"/>
      <c r="C115" s="26"/>
      <c r="D115" s="26"/>
      <c r="E115" s="27"/>
    </row>
    <row r="116" customFormat="false" ht="16.5" hidden="false" customHeight="false" outlineLevel="0" collapsed="false">
      <c r="A116" s="22"/>
      <c r="B116" s="23"/>
      <c r="C116" s="23"/>
      <c r="D116" s="23"/>
      <c r="E116" s="24"/>
    </row>
    <row r="117" customFormat="false" ht="16.5" hidden="false" customHeight="false" outlineLevel="0" collapsed="false">
      <c r="A117" s="25"/>
      <c r="B117" s="26"/>
      <c r="C117" s="26"/>
      <c r="D117" s="26"/>
      <c r="E117" s="27"/>
    </row>
    <row r="118" customFormat="false" ht="16.5" hidden="false" customHeight="false" outlineLevel="0" collapsed="false">
      <c r="A118" s="22"/>
      <c r="B118" s="23"/>
      <c r="C118" s="23"/>
      <c r="D118" s="23"/>
      <c r="E118" s="24"/>
    </row>
    <row r="119" customFormat="false" ht="16.5" hidden="false" customHeight="false" outlineLevel="0" collapsed="false">
      <c r="A119" s="25"/>
      <c r="B119" s="26"/>
      <c r="C119" s="26"/>
      <c r="D119" s="26"/>
      <c r="E119" s="27"/>
    </row>
    <row r="120" customFormat="false" ht="16.5" hidden="false" customHeight="false" outlineLevel="0" collapsed="false">
      <c r="A120" s="22"/>
      <c r="B120" s="23"/>
      <c r="C120" s="23"/>
      <c r="D120" s="23"/>
      <c r="E120" s="24"/>
    </row>
    <row r="121" customFormat="false" ht="16.5" hidden="false" customHeight="false" outlineLevel="0" collapsed="false">
      <c r="A121" s="25"/>
      <c r="B121" s="26"/>
      <c r="C121" s="26"/>
      <c r="D121" s="26"/>
      <c r="E121" s="27"/>
    </row>
    <row r="122" customFormat="false" ht="16.5" hidden="false" customHeight="false" outlineLevel="0" collapsed="false">
      <c r="A122" s="22"/>
      <c r="B122" s="23"/>
      <c r="C122" s="23"/>
      <c r="D122" s="23"/>
      <c r="E122" s="24"/>
    </row>
    <row r="123" customFormat="false" ht="16.5" hidden="false" customHeight="false" outlineLevel="0" collapsed="false">
      <c r="A123" s="25"/>
      <c r="B123" s="26"/>
      <c r="C123" s="26"/>
      <c r="D123" s="26"/>
      <c r="E123" s="27"/>
    </row>
    <row r="124" customFormat="false" ht="16.5" hidden="false" customHeight="false" outlineLevel="0" collapsed="false">
      <c r="A124" s="22"/>
      <c r="B124" s="23"/>
      <c r="C124" s="23"/>
      <c r="D124" s="23"/>
      <c r="E124" s="24"/>
    </row>
    <row r="125" customFormat="false" ht="16.5" hidden="false" customHeight="false" outlineLevel="0" collapsed="false">
      <c r="A125" s="25"/>
      <c r="B125" s="26"/>
      <c r="C125" s="26"/>
      <c r="D125" s="26"/>
      <c r="E125" s="27"/>
    </row>
    <row r="126" customFormat="false" ht="16.5" hidden="false" customHeight="false" outlineLevel="0" collapsed="false">
      <c r="A126" s="22"/>
      <c r="B126" s="23"/>
      <c r="C126" s="23"/>
      <c r="D126" s="23"/>
      <c r="E126" s="24"/>
    </row>
    <row r="127" customFormat="false" ht="16.5" hidden="false" customHeight="false" outlineLevel="0" collapsed="false">
      <c r="A127" s="25"/>
      <c r="B127" s="26"/>
      <c r="C127" s="26"/>
      <c r="D127" s="26"/>
      <c r="E127" s="27"/>
    </row>
    <row r="128" customFormat="false" ht="16.5" hidden="false" customHeight="false" outlineLevel="0" collapsed="false">
      <c r="A128" s="22"/>
      <c r="B128" s="23"/>
      <c r="C128" s="23"/>
      <c r="D128" s="23"/>
      <c r="E128" s="24"/>
    </row>
    <row r="129" customFormat="false" ht="16.5" hidden="false" customHeight="false" outlineLevel="0" collapsed="false">
      <c r="A129" s="25"/>
      <c r="B129" s="26"/>
      <c r="C129" s="26"/>
      <c r="D129" s="26"/>
      <c r="E129" s="27"/>
    </row>
    <row r="130" customFormat="false" ht="16.5" hidden="false" customHeight="false" outlineLevel="0" collapsed="false">
      <c r="A130" s="22"/>
      <c r="B130" s="23"/>
      <c r="C130" s="23"/>
      <c r="D130" s="23"/>
      <c r="E130" s="24"/>
    </row>
    <row r="131" customFormat="false" ht="16.5" hidden="false" customHeight="false" outlineLevel="0" collapsed="false">
      <c r="A131" s="25"/>
      <c r="B131" s="26"/>
      <c r="C131" s="26"/>
      <c r="D131" s="26"/>
      <c r="E131" s="27"/>
    </row>
    <row r="132" customFormat="false" ht="16.5" hidden="false" customHeight="false" outlineLevel="0" collapsed="false">
      <c r="A132" s="22"/>
      <c r="B132" s="23"/>
      <c r="C132" s="23"/>
      <c r="D132" s="23"/>
      <c r="E132" s="24"/>
    </row>
    <row r="133" customFormat="false" ht="16.5" hidden="false" customHeight="false" outlineLevel="0" collapsed="false">
      <c r="A133" s="25"/>
      <c r="B133" s="26"/>
      <c r="C133" s="26"/>
      <c r="D133" s="26"/>
      <c r="E133" s="27"/>
    </row>
    <row r="134" customFormat="false" ht="16.5" hidden="false" customHeight="false" outlineLevel="0" collapsed="false">
      <c r="A134" s="22"/>
      <c r="B134" s="23"/>
      <c r="C134" s="23"/>
      <c r="D134" s="23"/>
      <c r="E134" s="24"/>
    </row>
    <row r="135" customFormat="false" ht="16.5" hidden="false" customHeight="false" outlineLevel="0" collapsed="false">
      <c r="A135" s="25"/>
      <c r="B135" s="26"/>
      <c r="C135" s="26"/>
      <c r="D135" s="26"/>
      <c r="E135" s="27"/>
    </row>
    <row r="136" customFormat="false" ht="16.5" hidden="false" customHeight="false" outlineLevel="0" collapsed="false">
      <c r="A136" s="22"/>
      <c r="B136" s="23"/>
      <c r="C136" s="23"/>
      <c r="D136" s="23"/>
      <c r="E136" s="24"/>
    </row>
    <row r="137" customFormat="false" ht="16.5" hidden="false" customHeight="false" outlineLevel="0" collapsed="false">
      <c r="A137" s="25"/>
      <c r="B137" s="26"/>
      <c r="C137" s="26"/>
      <c r="D137" s="26"/>
      <c r="E137" s="27"/>
    </row>
    <row r="138" customFormat="false" ht="16.5" hidden="false" customHeight="false" outlineLevel="0" collapsed="false">
      <c r="A138" s="22"/>
      <c r="B138" s="23"/>
      <c r="C138" s="23"/>
      <c r="D138" s="23"/>
      <c r="E138" s="24"/>
    </row>
    <row r="139" customFormat="false" ht="16.5" hidden="false" customHeight="false" outlineLevel="0" collapsed="false">
      <c r="A139" s="25"/>
      <c r="B139" s="26"/>
      <c r="C139" s="26"/>
      <c r="D139" s="26"/>
      <c r="E139" s="27"/>
    </row>
    <row r="140" customFormat="false" ht="16.5" hidden="false" customHeight="false" outlineLevel="0" collapsed="false">
      <c r="A140" s="22"/>
      <c r="B140" s="23"/>
      <c r="C140" s="23"/>
      <c r="D140" s="23"/>
      <c r="E140" s="24"/>
    </row>
    <row r="141" customFormat="false" ht="16.5" hidden="false" customHeight="false" outlineLevel="0" collapsed="false">
      <c r="A141" s="25"/>
      <c r="B141" s="26"/>
      <c r="C141" s="26"/>
      <c r="D141" s="26"/>
      <c r="E141" s="27"/>
    </row>
    <row r="142" customFormat="false" ht="16.5" hidden="false" customHeight="false" outlineLevel="0" collapsed="false">
      <c r="A142" s="22"/>
      <c r="B142" s="23"/>
      <c r="C142" s="23"/>
      <c r="D142" s="23"/>
      <c r="E142" s="24"/>
    </row>
    <row r="143" customFormat="false" ht="16.5" hidden="false" customHeight="false" outlineLevel="0" collapsed="false">
      <c r="A143" s="25"/>
      <c r="B143" s="26"/>
      <c r="C143" s="26"/>
      <c r="D143" s="26"/>
      <c r="E143" s="27"/>
    </row>
    <row r="144" customFormat="false" ht="16.5" hidden="false" customHeight="false" outlineLevel="0" collapsed="false">
      <c r="A144" s="22"/>
      <c r="B144" s="23"/>
      <c r="C144" s="23"/>
      <c r="D144" s="23"/>
      <c r="E144" s="24"/>
    </row>
    <row r="145" customFormat="false" ht="16.5" hidden="false" customHeight="false" outlineLevel="0" collapsed="false">
      <c r="A145" s="25"/>
      <c r="B145" s="26"/>
      <c r="C145" s="26"/>
      <c r="D145" s="26"/>
      <c r="E145" s="27"/>
    </row>
    <row r="146" customFormat="false" ht="16.5" hidden="false" customHeight="false" outlineLevel="0" collapsed="false">
      <c r="A146" s="22"/>
      <c r="B146" s="23"/>
      <c r="C146" s="23"/>
      <c r="D146" s="23"/>
      <c r="E146" s="24"/>
    </row>
    <row r="147" customFormat="false" ht="16.5" hidden="false" customHeight="false" outlineLevel="0" collapsed="false">
      <c r="A147" s="25"/>
      <c r="B147" s="26"/>
      <c r="C147" s="26"/>
      <c r="D147" s="26"/>
      <c r="E147" s="27"/>
    </row>
    <row r="148" customFormat="false" ht="16.5" hidden="false" customHeight="false" outlineLevel="0" collapsed="false">
      <c r="A148" s="22"/>
      <c r="B148" s="23"/>
      <c r="C148" s="23"/>
      <c r="D148" s="23"/>
      <c r="E148" s="24"/>
    </row>
    <row r="149" customFormat="false" ht="16.5" hidden="false" customHeight="false" outlineLevel="0" collapsed="false">
      <c r="A149" s="25"/>
      <c r="B149" s="26"/>
      <c r="C149" s="26"/>
      <c r="D149" s="26"/>
      <c r="E149" s="27"/>
    </row>
    <row r="150" customFormat="false" ht="16.5" hidden="false" customHeight="false" outlineLevel="0" collapsed="false">
      <c r="A150" s="22"/>
      <c r="B150" s="23"/>
      <c r="C150" s="23"/>
      <c r="D150" s="23"/>
      <c r="E150" s="24"/>
    </row>
    <row r="151" customFormat="false" ht="16.5" hidden="false" customHeight="false" outlineLevel="0" collapsed="false">
      <c r="A151" s="25"/>
      <c r="B151" s="26"/>
      <c r="C151" s="26"/>
      <c r="D151" s="26"/>
      <c r="E151" s="27"/>
    </row>
    <row r="152" customFormat="false" ht="16.5" hidden="false" customHeight="false" outlineLevel="0" collapsed="false">
      <c r="A152" s="22"/>
      <c r="B152" s="23"/>
      <c r="C152" s="23"/>
      <c r="D152" s="23"/>
      <c r="E152" s="24"/>
    </row>
    <row r="153" customFormat="false" ht="16.5" hidden="false" customHeight="false" outlineLevel="0" collapsed="false">
      <c r="A153" s="25"/>
      <c r="B153" s="26"/>
      <c r="C153" s="26"/>
      <c r="D153" s="26"/>
      <c r="E153" s="27"/>
    </row>
    <row r="154" customFormat="false" ht="16.5" hidden="false" customHeight="false" outlineLevel="0" collapsed="false">
      <c r="A154" s="22"/>
      <c r="B154" s="23"/>
      <c r="C154" s="23"/>
      <c r="D154" s="23"/>
      <c r="E154" s="24"/>
    </row>
    <row r="155" customFormat="false" ht="16.5" hidden="false" customHeight="false" outlineLevel="0" collapsed="false">
      <c r="A155" s="25"/>
      <c r="B155" s="26"/>
      <c r="C155" s="26"/>
      <c r="D155" s="26"/>
      <c r="E155" s="27"/>
    </row>
    <row r="156" customFormat="false" ht="16.5" hidden="false" customHeight="false" outlineLevel="0" collapsed="false">
      <c r="A156" s="22"/>
      <c r="B156" s="23"/>
      <c r="C156" s="23"/>
      <c r="D156" s="23"/>
      <c r="E156" s="24"/>
    </row>
    <row r="157" customFormat="false" ht="16.5" hidden="false" customHeight="false" outlineLevel="0" collapsed="false">
      <c r="A157" s="25"/>
      <c r="B157" s="26"/>
      <c r="C157" s="26"/>
      <c r="D157" s="26"/>
      <c r="E157" s="27"/>
    </row>
    <row r="158" customFormat="false" ht="16.5" hidden="false" customHeight="false" outlineLevel="0" collapsed="false">
      <c r="A158" s="22"/>
      <c r="B158" s="23"/>
      <c r="C158" s="23"/>
      <c r="D158" s="23"/>
      <c r="E158" s="24"/>
    </row>
    <row r="159" customFormat="false" ht="16.5" hidden="false" customHeight="false" outlineLevel="0" collapsed="false">
      <c r="A159" s="25"/>
      <c r="B159" s="26"/>
      <c r="C159" s="26"/>
      <c r="D159" s="26"/>
      <c r="E159" s="27"/>
    </row>
    <row r="160" customFormat="false" ht="16.5" hidden="false" customHeight="false" outlineLevel="0" collapsed="false">
      <c r="A160" s="22"/>
      <c r="B160" s="23"/>
      <c r="C160" s="23"/>
      <c r="D160" s="23"/>
      <c r="E160" s="24"/>
    </row>
    <row r="161" customFormat="false" ht="16.5" hidden="false" customHeight="false" outlineLevel="0" collapsed="false">
      <c r="A161" s="25"/>
      <c r="B161" s="26"/>
      <c r="C161" s="26"/>
      <c r="D161" s="26"/>
      <c r="E161" s="27"/>
    </row>
    <row r="162" customFormat="false" ht="16.5" hidden="false" customHeight="false" outlineLevel="0" collapsed="false">
      <c r="A162" s="22"/>
      <c r="B162" s="23"/>
      <c r="C162" s="23"/>
      <c r="D162" s="23"/>
      <c r="E162" s="24"/>
    </row>
    <row r="163" customFormat="false" ht="16.5" hidden="false" customHeight="false" outlineLevel="0" collapsed="false">
      <c r="A163" s="25"/>
      <c r="B163" s="26"/>
      <c r="C163" s="26"/>
      <c r="D163" s="26"/>
      <c r="E163" s="27"/>
    </row>
    <row r="164" customFormat="false" ht="16.5" hidden="false" customHeight="false" outlineLevel="0" collapsed="false">
      <c r="A164" s="22"/>
      <c r="B164" s="23"/>
      <c r="C164" s="23"/>
      <c r="D164" s="23"/>
      <c r="E164" s="24"/>
    </row>
    <row r="165" customFormat="false" ht="16.5" hidden="false" customHeight="false" outlineLevel="0" collapsed="false">
      <c r="A165" s="25"/>
      <c r="B165" s="26"/>
      <c r="C165" s="26"/>
      <c r="D165" s="26"/>
      <c r="E165" s="27"/>
    </row>
    <row r="166" customFormat="false" ht="16.5" hidden="false" customHeight="false" outlineLevel="0" collapsed="false">
      <c r="A166" s="22"/>
      <c r="B166" s="23"/>
      <c r="C166" s="23"/>
      <c r="D166" s="23"/>
      <c r="E166" s="24"/>
    </row>
    <row r="167" customFormat="false" ht="16.5" hidden="false" customHeight="false" outlineLevel="0" collapsed="false">
      <c r="A167" s="25"/>
      <c r="B167" s="26"/>
      <c r="C167" s="26"/>
      <c r="D167" s="26"/>
      <c r="E167" s="27"/>
    </row>
    <row r="168" customFormat="false" ht="16.5" hidden="false" customHeight="false" outlineLevel="0" collapsed="false">
      <c r="A168" s="22"/>
      <c r="B168" s="23"/>
      <c r="C168" s="23"/>
      <c r="D168" s="23"/>
      <c r="E168" s="24"/>
    </row>
    <row r="169" customFormat="false" ht="16.5" hidden="false" customHeight="false" outlineLevel="0" collapsed="false">
      <c r="A169" s="25"/>
      <c r="B169" s="26"/>
      <c r="C169" s="26"/>
      <c r="D169" s="26"/>
      <c r="E169" s="27"/>
    </row>
    <row r="170" customFormat="false" ht="16.5" hidden="false" customHeight="false" outlineLevel="0" collapsed="false">
      <c r="A170" s="22"/>
      <c r="B170" s="23"/>
      <c r="C170" s="23"/>
      <c r="D170" s="23"/>
      <c r="E170" s="24"/>
    </row>
    <row r="171" customFormat="false" ht="16.5" hidden="false" customHeight="false" outlineLevel="0" collapsed="false">
      <c r="A171" s="25"/>
      <c r="B171" s="26"/>
      <c r="C171" s="26"/>
      <c r="D171" s="26"/>
      <c r="E171" s="27"/>
    </row>
    <row r="172" customFormat="false" ht="16.5" hidden="false" customHeight="false" outlineLevel="0" collapsed="false">
      <c r="A172" s="22"/>
      <c r="B172" s="23"/>
      <c r="C172" s="23"/>
      <c r="D172" s="23"/>
      <c r="E172" s="24"/>
    </row>
    <row r="173" customFormat="false" ht="16.5" hidden="false" customHeight="false" outlineLevel="0" collapsed="false">
      <c r="A173" s="25"/>
      <c r="B173" s="26"/>
      <c r="C173" s="26"/>
      <c r="D173" s="26"/>
      <c r="E173" s="27"/>
    </row>
    <row r="174" customFormat="false" ht="16.5" hidden="false" customHeight="false" outlineLevel="0" collapsed="false">
      <c r="A174" s="22"/>
      <c r="B174" s="23"/>
      <c r="C174" s="23"/>
      <c r="D174" s="23"/>
      <c r="E174" s="24"/>
    </row>
    <row r="175" customFormat="false" ht="16.5" hidden="false" customHeight="false" outlineLevel="0" collapsed="false">
      <c r="A175" s="25"/>
      <c r="B175" s="26"/>
      <c r="C175" s="26"/>
      <c r="D175" s="26"/>
      <c r="E175" s="27"/>
    </row>
    <row r="176" customFormat="false" ht="16.5" hidden="false" customHeight="false" outlineLevel="0" collapsed="false">
      <c r="A176" s="22"/>
      <c r="B176" s="23"/>
      <c r="C176" s="23"/>
      <c r="D176" s="23"/>
      <c r="E176" s="24"/>
    </row>
    <row r="177" customFormat="false" ht="16.5" hidden="false" customHeight="false" outlineLevel="0" collapsed="false">
      <c r="A177" s="25"/>
      <c r="B177" s="26"/>
      <c r="C177" s="26"/>
      <c r="D177" s="26"/>
      <c r="E177" s="27"/>
    </row>
    <row r="178" customFormat="false" ht="16.5" hidden="false" customHeight="false" outlineLevel="0" collapsed="false">
      <c r="A178" s="22"/>
      <c r="B178" s="23"/>
      <c r="C178" s="23"/>
      <c r="D178" s="23"/>
      <c r="E178" s="24"/>
    </row>
    <row r="179" customFormat="false" ht="16.5" hidden="false" customHeight="false" outlineLevel="0" collapsed="false">
      <c r="A179" s="25"/>
      <c r="B179" s="26"/>
      <c r="C179" s="26"/>
      <c r="D179" s="26"/>
      <c r="E179" s="27"/>
    </row>
    <row r="180" customFormat="false" ht="16.5" hidden="false" customHeight="false" outlineLevel="0" collapsed="false">
      <c r="A180" s="22"/>
      <c r="B180" s="23"/>
      <c r="C180" s="23"/>
      <c r="D180" s="23"/>
      <c r="E180" s="24"/>
    </row>
    <row r="181" customFormat="false" ht="16.5" hidden="false" customHeight="false" outlineLevel="0" collapsed="false">
      <c r="A181" s="25"/>
      <c r="B181" s="26"/>
      <c r="C181" s="26"/>
      <c r="D181" s="26"/>
      <c r="E181" s="27"/>
    </row>
    <row r="182" customFormat="false" ht="16.5" hidden="false" customHeight="false" outlineLevel="0" collapsed="false">
      <c r="A182" s="22"/>
      <c r="B182" s="23"/>
      <c r="C182" s="23"/>
      <c r="D182" s="23"/>
      <c r="E182" s="24"/>
    </row>
    <row r="183" customFormat="false" ht="16.5" hidden="false" customHeight="false" outlineLevel="0" collapsed="false">
      <c r="A183" s="25"/>
      <c r="B183" s="26"/>
      <c r="C183" s="26"/>
      <c r="D183" s="26"/>
      <c r="E183" s="27"/>
    </row>
    <row r="184" customFormat="false" ht="16.5" hidden="false" customHeight="false" outlineLevel="0" collapsed="false">
      <c r="A184" s="22"/>
      <c r="B184" s="23"/>
      <c r="C184" s="23"/>
      <c r="D184" s="23"/>
      <c r="E184" s="24"/>
    </row>
    <row r="185" customFormat="false" ht="16.5" hidden="false" customHeight="false" outlineLevel="0" collapsed="false">
      <c r="A185" s="25"/>
      <c r="B185" s="26"/>
      <c r="C185" s="26"/>
      <c r="D185" s="26"/>
      <c r="E185" s="27"/>
    </row>
    <row r="186" customFormat="false" ht="16.5" hidden="false" customHeight="false" outlineLevel="0" collapsed="false">
      <c r="A186" s="22"/>
      <c r="B186" s="23"/>
      <c r="C186" s="23"/>
      <c r="D186" s="23"/>
      <c r="E186" s="24"/>
    </row>
    <row r="187" customFormat="false" ht="16.5" hidden="false" customHeight="false" outlineLevel="0" collapsed="false">
      <c r="A187" s="25"/>
      <c r="B187" s="26"/>
      <c r="C187" s="26"/>
      <c r="D187" s="26"/>
      <c r="E187" s="27"/>
    </row>
    <row r="188" customFormat="false" ht="16.5" hidden="false" customHeight="false" outlineLevel="0" collapsed="false">
      <c r="A188" s="22"/>
      <c r="B188" s="23"/>
      <c r="C188" s="23"/>
      <c r="D188" s="23"/>
      <c r="E188" s="24"/>
    </row>
    <row r="189" customFormat="false" ht="16.5" hidden="false" customHeight="false" outlineLevel="0" collapsed="false">
      <c r="A189" s="25"/>
      <c r="B189" s="26"/>
      <c r="C189" s="26"/>
      <c r="D189" s="26"/>
      <c r="E189" s="27"/>
    </row>
    <row r="190" customFormat="false" ht="16.5" hidden="false" customHeight="false" outlineLevel="0" collapsed="false">
      <c r="A190" s="22"/>
      <c r="B190" s="23"/>
      <c r="C190" s="23"/>
      <c r="D190" s="23"/>
      <c r="E190" s="24"/>
    </row>
    <row r="191" customFormat="false" ht="16.5" hidden="false" customHeight="false" outlineLevel="0" collapsed="false">
      <c r="A191" s="25"/>
      <c r="B191" s="26"/>
      <c r="C191" s="26"/>
      <c r="D191" s="26"/>
      <c r="E191" s="27"/>
    </row>
    <row r="192" customFormat="false" ht="16.5" hidden="false" customHeight="false" outlineLevel="0" collapsed="false">
      <c r="A192" s="22"/>
      <c r="B192" s="23"/>
      <c r="C192" s="23"/>
      <c r="D192" s="23"/>
      <c r="E192" s="24"/>
    </row>
    <row r="193" customFormat="false" ht="16.5" hidden="false" customHeight="false" outlineLevel="0" collapsed="false">
      <c r="A193" s="25"/>
      <c r="B193" s="26"/>
      <c r="C193" s="26"/>
      <c r="D193" s="26"/>
      <c r="E193" s="27"/>
    </row>
    <row r="194" customFormat="false" ht="16.5" hidden="false" customHeight="false" outlineLevel="0" collapsed="false">
      <c r="A194" s="22"/>
      <c r="B194" s="23"/>
      <c r="C194" s="23"/>
      <c r="D194" s="23"/>
      <c r="E194" s="24"/>
    </row>
    <row r="195" customFormat="false" ht="16.5" hidden="false" customHeight="false" outlineLevel="0" collapsed="false">
      <c r="A195" s="25"/>
      <c r="B195" s="26"/>
      <c r="C195" s="26"/>
      <c r="D195" s="26"/>
      <c r="E195" s="27"/>
    </row>
    <row r="196" customFormat="false" ht="16.5" hidden="false" customHeight="false" outlineLevel="0" collapsed="false">
      <c r="A196" s="22"/>
      <c r="B196" s="23"/>
      <c r="C196" s="23"/>
      <c r="D196" s="23"/>
      <c r="E196" s="24"/>
    </row>
    <row r="197" customFormat="false" ht="16.5" hidden="false" customHeight="false" outlineLevel="0" collapsed="false">
      <c r="A197" s="25"/>
      <c r="B197" s="26"/>
      <c r="C197" s="26"/>
      <c r="D197" s="26"/>
      <c r="E197" s="27"/>
    </row>
    <row r="198" customFormat="false" ht="16.5" hidden="false" customHeight="false" outlineLevel="0" collapsed="false">
      <c r="A198" s="22"/>
      <c r="B198" s="23"/>
      <c r="C198" s="23"/>
      <c r="D198" s="23"/>
      <c r="E198" s="24"/>
    </row>
    <row r="199" customFormat="false" ht="16.5" hidden="false" customHeight="false" outlineLevel="0" collapsed="false">
      <c r="A199" s="25"/>
      <c r="B199" s="26"/>
      <c r="C199" s="26"/>
      <c r="D199" s="26"/>
      <c r="E199" s="27"/>
    </row>
    <row r="200" customFormat="false" ht="16.5" hidden="false" customHeight="false" outlineLevel="0" collapsed="false">
      <c r="A200" s="22"/>
      <c r="B200" s="23"/>
      <c r="C200" s="23"/>
      <c r="D200" s="23"/>
      <c r="E200" s="24"/>
    </row>
    <row r="201" customFormat="false" ht="16.5" hidden="false" customHeight="false" outlineLevel="0" collapsed="false">
      <c r="A201" s="25"/>
      <c r="B201" s="26"/>
      <c r="C201" s="26"/>
      <c r="D201" s="26"/>
      <c r="E201" s="27"/>
    </row>
    <row r="202" customFormat="false" ht="16.5" hidden="false" customHeight="false" outlineLevel="0" collapsed="false">
      <c r="A202" s="22"/>
      <c r="B202" s="23"/>
      <c r="C202" s="23"/>
      <c r="D202" s="23"/>
      <c r="E202" s="24"/>
    </row>
    <row r="203" customFormat="false" ht="16.5" hidden="false" customHeight="false" outlineLevel="0" collapsed="false">
      <c r="A203" s="25"/>
      <c r="B203" s="26"/>
      <c r="C203" s="26"/>
      <c r="D203" s="26"/>
      <c r="E203" s="27"/>
    </row>
    <row r="204" customFormat="false" ht="16.5" hidden="false" customHeight="false" outlineLevel="0" collapsed="false">
      <c r="A204" s="22"/>
      <c r="B204" s="23"/>
      <c r="C204" s="23"/>
      <c r="D204" s="23"/>
      <c r="E204" s="24"/>
    </row>
    <row r="205" customFormat="false" ht="16.5" hidden="false" customHeight="false" outlineLevel="0" collapsed="false">
      <c r="A205" s="25"/>
      <c r="B205" s="26"/>
      <c r="C205" s="26"/>
      <c r="D205" s="26"/>
      <c r="E205" s="27"/>
    </row>
    <row r="206" customFormat="false" ht="16.5" hidden="false" customHeight="false" outlineLevel="0" collapsed="false">
      <c r="A206" s="22"/>
      <c r="B206" s="23"/>
      <c r="C206" s="23"/>
      <c r="D206" s="23"/>
      <c r="E206" s="24"/>
    </row>
    <row r="207" customFormat="false" ht="16.5" hidden="false" customHeight="false" outlineLevel="0" collapsed="false">
      <c r="A207" s="25"/>
      <c r="B207" s="26"/>
      <c r="C207" s="26"/>
      <c r="D207" s="26"/>
      <c r="E207" s="27"/>
    </row>
    <row r="208" customFormat="false" ht="16.5" hidden="false" customHeight="false" outlineLevel="0" collapsed="false">
      <c r="A208" s="22"/>
      <c r="B208" s="23"/>
      <c r="C208" s="23"/>
      <c r="D208" s="23"/>
      <c r="E208" s="24"/>
    </row>
    <row r="209" customFormat="false" ht="16.5" hidden="false" customHeight="false" outlineLevel="0" collapsed="false">
      <c r="A209" s="25"/>
      <c r="B209" s="26"/>
      <c r="C209" s="26"/>
      <c r="D209" s="26"/>
      <c r="E209" s="27"/>
    </row>
    <row r="210" customFormat="false" ht="16.5" hidden="false" customHeight="false" outlineLevel="0" collapsed="false">
      <c r="A210" s="22"/>
      <c r="B210" s="23"/>
      <c r="C210" s="23"/>
      <c r="D210" s="23"/>
      <c r="E210" s="24"/>
    </row>
    <row r="211" customFormat="false" ht="16.5" hidden="false" customHeight="false" outlineLevel="0" collapsed="false">
      <c r="A211" s="25"/>
      <c r="B211" s="26"/>
      <c r="C211" s="26"/>
      <c r="D211" s="26"/>
      <c r="E211" s="27"/>
    </row>
    <row r="212" customFormat="false" ht="16.5" hidden="false" customHeight="false" outlineLevel="0" collapsed="false">
      <c r="A212" s="22"/>
      <c r="B212" s="23"/>
      <c r="C212" s="23"/>
      <c r="D212" s="23"/>
      <c r="E212" s="24"/>
    </row>
    <row r="213" customFormat="false" ht="16.5" hidden="false" customHeight="false" outlineLevel="0" collapsed="false">
      <c r="A213" s="25"/>
      <c r="B213" s="26"/>
      <c r="C213" s="26"/>
      <c r="D213" s="26"/>
      <c r="E213" s="27"/>
    </row>
    <row r="214" customFormat="false" ht="16.5" hidden="false" customHeight="false" outlineLevel="0" collapsed="false">
      <c r="A214" s="22"/>
      <c r="B214" s="23"/>
      <c r="C214" s="23"/>
      <c r="D214" s="23"/>
      <c r="E214" s="24"/>
    </row>
    <row r="215" customFormat="false" ht="16.5" hidden="false" customHeight="false" outlineLevel="0" collapsed="false">
      <c r="A215" s="25"/>
      <c r="B215" s="26"/>
      <c r="C215" s="26"/>
      <c r="D215" s="26"/>
      <c r="E215" s="27"/>
    </row>
    <row r="216" customFormat="false" ht="16.5" hidden="false" customHeight="false" outlineLevel="0" collapsed="false">
      <c r="A216" s="22"/>
      <c r="B216" s="23"/>
      <c r="C216" s="23"/>
      <c r="D216" s="23"/>
      <c r="E216" s="24"/>
    </row>
    <row r="217" customFormat="false" ht="16.5" hidden="false" customHeight="false" outlineLevel="0" collapsed="false">
      <c r="A217" s="25"/>
      <c r="B217" s="26"/>
      <c r="C217" s="26"/>
      <c r="D217" s="26"/>
      <c r="E217" s="27"/>
    </row>
    <row r="218" customFormat="false" ht="16.5" hidden="false" customHeight="false" outlineLevel="0" collapsed="false">
      <c r="A218" s="22"/>
      <c r="B218" s="23"/>
      <c r="C218" s="23"/>
      <c r="D218" s="23"/>
      <c r="E218" s="24"/>
    </row>
    <row r="219" customFormat="false" ht="16.5" hidden="false" customHeight="false" outlineLevel="0" collapsed="false">
      <c r="A219" s="25"/>
      <c r="B219" s="26"/>
      <c r="C219" s="26"/>
      <c r="D219" s="26"/>
      <c r="E219" s="27"/>
    </row>
    <row r="220" customFormat="false" ht="16.5" hidden="false" customHeight="false" outlineLevel="0" collapsed="false">
      <c r="A220" s="22"/>
      <c r="B220" s="23"/>
      <c r="C220" s="23"/>
      <c r="D220" s="23"/>
      <c r="E220" s="24"/>
    </row>
    <row r="221" customFormat="false" ht="16.5" hidden="false" customHeight="false" outlineLevel="0" collapsed="false">
      <c r="A221" s="25"/>
      <c r="B221" s="26"/>
      <c r="C221" s="26"/>
      <c r="D221" s="26"/>
      <c r="E221" s="27"/>
    </row>
    <row r="222" customFormat="false" ht="16.5" hidden="false" customHeight="false" outlineLevel="0" collapsed="false">
      <c r="A222" s="22"/>
      <c r="B222" s="23"/>
      <c r="C222" s="23"/>
      <c r="D222" s="23"/>
      <c r="E222" s="24"/>
    </row>
    <row r="223" customFormat="false" ht="16.5" hidden="false" customHeight="false" outlineLevel="0" collapsed="false">
      <c r="A223" s="25"/>
      <c r="B223" s="26"/>
      <c r="C223" s="26"/>
      <c r="D223" s="26"/>
      <c r="E223" s="27"/>
    </row>
    <row r="224" customFormat="false" ht="16.5" hidden="false" customHeight="false" outlineLevel="0" collapsed="false">
      <c r="A224" s="22"/>
      <c r="B224" s="23"/>
      <c r="C224" s="23"/>
      <c r="D224" s="23"/>
      <c r="E224" s="24"/>
    </row>
    <row r="225" customFormat="false" ht="16.5" hidden="false" customHeight="false" outlineLevel="0" collapsed="false">
      <c r="A225" s="25"/>
      <c r="B225" s="26"/>
      <c r="C225" s="26"/>
      <c r="D225" s="26"/>
      <c r="E225" s="27"/>
    </row>
    <row r="226" customFormat="false" ht="16.5" hidden="false" customHeight="false" outlineLevel="0" collapsed="false">
      <c r="A226" s="22"/>
      <c r="B226" s="23"/>
      <c r="C226" s="23"/>
      <c r="D226" s="23"/>
      <c r="E226" s="24"/>
    </row>
    <row r="227" customFormat="false" ht="16.5" hidden="false" customHeight="false" outlineLevel="0" collapsed="false">
      <c r="A227" s="25"/>
      <c r="B227" s="26"/>
      <c r="C227" s="26"/>
      <c r="D227" s="26"/>
      <c r="E227" s="27"/>
    </row>
    <row r="228" customFormat="false" ht="16.5" hidden="false" customHeight="false" outlineLevel="0" collapsed="false">
      <c r="A228" s="22"/>
      <c r="B228" s="23"/>
      <c r="C228" s="23"/>
      <c r="D228" s="23"/>
      <c r="E228" s="24"/>
    </row>
    <row r="229" customFormat="false" ht="16.5" hidden="false" customHeight="false" outlineLevel="0" collapsed="false">
      <c r="A229" s="25"/>
      <c r="B229" s="26"/>
      <c r="C229" s="26"/>
      <c r="D229" s="26"/>
      <c r="E229" s="27"/>
    </row>
    <row r="230" customFormat="false" ht="16.5" hidden="false" customHeight="false" outlineLevel="0" collapsed="false">
      <c r="A230" s="22"/>
      <c r="B230" s="23"/>
      <c r="C230" s="23"/>
      <c r="D230" s="23"/>
      <c r="E230" s="24"/>
    </row>
    <row r="231" customFormat="false" ht="16.5" hidden="false" customHeight="false" outlineLevel="0" collapsed="false">
      <c r="A231" s="25"/>
      <c r="B231" s="26"/>
      <c r="C231" s="26"/>
      <c r="D231" s="26"/>
      <c r="E231" s="27"/>
    </row>
    <row r="232" customFormat="false" ht="16.5" hidden="false" customHeight="false" outlineLevel="0" collapsed="false">
      <c r="A232" s="22"/>
      <c r="B232" s="23"/>
      <c r="C232" s="23"/>
      <c r="D232" s="23"/>
      <c r="E232" s="24"/>
    </row>
    <row r="233" customFormat="false" ht="16.5" hidden="false" customHeight="false" outlineLevel="0" collapsed="false">
      <c r="A233" s="25"/>
      <c r="B233" s="26"/>
      <c r="C233" s="26"/>
      <c r="D233" s="26"/>
      <c r="E233" s="27"/>
    </row>
    <row r="234" customFormat="false" ht="16.5" hidden="false" customHeight="false" outlineLevel="0" collapsed="false">
      <c r="A234" s="22"/>
      <c r="B234" s="23"/>
      <c r="C234" s="23"/>
      <c r="D234" s="23"/>
      <c r="E234" s="24"/>
    </row>
    <row r="235" customFormat="false" ht="16.5" hidden="false" customHeight="false" outlineLevel="0" collapsed="false">
      <c r="A235" s="25"/>
      <c r="B235" s="26"/>
      <c r="C235" s="26"/>
      <c r="D235" s="26"/>
      <c r="E235" s="27"/>
    </row>
    <row r="236" customFormat="false" ht="16.5" hidden="false" customHeight="false" outlineLevel="0" collapsed="false">
      <c r="A236" s="22"/>
      <c r="B236" s="23"/>
      <c r="C236" s="23"/>
      <c r="D236" s="23"/>
      <c r="E236" s="24"/>
    </row>
    <row r="237" customFormat="false" ht="16.5" hidden="false" customHeight="false" outlineLevel="0" collapsed="false">
      <c r="A237" s="25"/>
      <c r="B237" s="26"/>
      <c r="C237" s="26"/>
      <c r="D237" s="26"/>
      <c r="E237" s="27"/>
    </row>
    <row r="238" customFormat="false" ht="16.5" hidden="false" customHeight="false" outlineLevel="0" collapsed="false">
      <c r="A238" s="22"/>
      <c r="B238" s="23"/>
      <c r="C238" s="23"/>
      <c r="D238" s="23"/>
      <c r="E238" s="24"/>
    </row>
    <row r="239" customFormat="false" ht="16.5" hidden="false" customHeight="false" outlineLevel="0" collapsed="false">
      <c r="A239" s="25"/>
      <c r="B239" s="26"/>
      <c r="C239" s="26"/>
      <c r="D239" s="26"/>
      <c r="E239" s="27"/>
    </row>
    <row r="240" customFormat="false" ht="16.5" hidden="false" customHeight="false" outlineLevel="0" collapsed="false">
      <c r="A240" s="22"/>
      <c r="B240" s="23"/>
      <c r="C240" s="23"/>
      <c r="D240" s="23"/>
      <c r="E240" s="24"/>
    </row>
    <row r="241" customFormat="false" ht="16.5" hidden="false" customHeight="false" outlineLevel="0" collapsed="false">
      <c r="A241" s="25"/>
      <c r="B241" s="26"/>
      <c r="C241" s="26"/>
      <c r="D241" s="26"/>
      <c r="E241" s="27"/>
    </row>
    <row r="242" customFormat="false" ht="16.5" hidden="false" customHeight="false" outlineLevel="0" collapsed="false">
      <c r="A242" s="22"/>
      <c r="B242" s="23"/>
      <c r="C242" s="23"/>
      <c r="D242" s="23"/>
      <c r="E242" s="24"/>
    </row>
    <row r="243" customFormat="false" ht="16.5" hidden="false" customHeight="false" outlineLevel="0" collapsed="false">
      <c r="A243" s="25"/>
      <c r="B243" s="26"/>
      <c r="C243" s="26"/>
      <c r="D243" s="26"/>
      <c r="E243" s="27"/>
    </row>
    <row r="244" customFormat="false" ht="16.5" hidden="false" customHeight="false" outlineLevel="0" collapsed="false">
      <c r="A244" s="22"/>
      <c r="B244" s="23"/>
      <c r="C244" s="23"/>
      <c r="D244" s="23"/>
      <c r="E244" s="24"/>
    </row>
    <row r="245" customFormat="false" ht="16.5" hidden="false" customHeight="false" outlineLevel="0" collapsed="false">
      <c r="A245" s="25"/>
      <c r="B245" s="26"/>
      <c r="C245" s="26"/>
      <c r="D245" s="26"/>
      <c r="E245" s="27"/>
    </row>
    <row r="246" customFormat="false" ht="16.5" hidden="false" customHeight="false" outlineLevel="0" collapsed="false">
      <c r="A246" s="22"/>
      <c r="B246" s="23"/>
      <c r="C246" s="23"/>
      <c r="D246" s="23"/>
      <c r="E246" s="24"/>
    </row>
    <row r="247" customFormat="false" ht="16.5" hidden="false" customHeight="false" outlineLevel="0" collapsed="false">
      <c r="A247" s="25"/>
      <c r="B247" s="26"/>
      <c r="C247" s="26"/>
      <c r="D247" s="26"/>
      <c r="E247" s="27"/>
    </row>
    <row r="248" customFormat="false" ht="16.5" hidden="false" customHeight="false" outlineLevel="0" collapsed="false">
      <c r="A248" s="22"/>
      <c r="B248" s="23"/>
      <c r="C248" s="23"/>
      <c r="D248" s="23"/>
      <c r="E248" s="24"/>
    </row>
    <row r="249" customFormat="false" ht="16.5" hidden="false" customHeight="false" outlineLevel="0" collapsed="false">
      <c r="A249" s="25"/>
      <c r="B249" s="26"/>
      <c r="C249" s="26"/>
      <c r="D249" s="26"/>
      <c r="E249" s="27"/>
    </row>
    <row r="250" customFormat="false" ht="16.5" hidden="false" customHeight="false" outlineLevel="0" collapsed="false">
      <c r="A250" s="22"/>
      <c r="B250" s="23"/>
      <c r="C250" s="23"/>
      <c r="D250" s="23"/>
      <c r="E250" s="24"/>
    </row>
    <row r="251" customFormat="false" ht="16.5" hidden="false" customHeight="false" outlineLevel="0" collapsed="false">
      <c r="A251" s="25"/>
      <c r="B251" s="26"/>
      <c r="C251" s="26"/>
      <c r="D251" s="26"/>
      <c r="E251" s="27"/>
    </row>
    <row r="252" customFormat="false" ht="16.5" hidden="false" customHeight="false" outlineLevel="0" collapsed="false">
      <c r="A252" s="22"/>
      <c r="B252" s="23"/>
      <c r="C252" s="23"/>
      <c r="D252" s="23"/>
      <c r="E252" s="24"/>
    </row>
    <row r="253" customFormat="false" ht="16.5" hidden="false" customHeight="false" outlineLevel="0" collapsed="false">
      <c r="A253" s="25"/>
      <c r="B253" s="26"/>
      <c r="C253" s="26"/>
      <c r="D253" s="26"/>
      <c r="E253" s="27"/>
    </row>
    <row r="254" customFormat="false" ht="16.5" hidden="false" customHeight="false" outlineLevel="0" collapsed="false">
      <c r="A254" s="22"/>
      <c r="B254" s="23"/>
      <c r="C254" s="23"/>
      <c r="D254" s="23"/>
      <c r="E254" s="24"/>
    </row>
    <row r="255" customFormat="false" ht="16.5" hidden="false" customHeight="false" outlineLevel="0" collapsed="false">
      <c r="A255" s="25"/>
      <c r="B255" s="26"/>
      <c r="C255" s="26"/>
      <c r="D255" s="26"/>
      <c r="E255" s="27"/>
    </row>
    <row r="256" customFormat="false" ht="16.5" hidden="false" customHeight="false" outlineLevel="0" collapsed="false">
      <c r="A256" s="22"/>
      <c r="B256" s="23"/>
      <c r="C256" s="23"/>
      <c r="D256" s="23"/>
      <c r="E256" s="24"/>
    </row>
    <row r="257" customFormat="false" ht="16.5" hidden="false" customHeight="false" outlineLevel="0" collapsed="false">
      <c r="A257" s="25"/>
      <c r="B257" s="26"/>
      <c r="C257" s="26"/>
      <c r="D257" s="26"/>
      <c r="E257" s="27"/>
    </row>
    <row r="258" customFormat="false" ht="16.5" hidden="false" customHeight="false" outlineLevel="0" collapsed="false">
      <c r="A258" s="22"/>
      <c r="B258" s="23"/>
      <c r="C258" s="23"/>
      <c r="D258" s="23"/>
      <c r="E258" s="24"/>
    </row>
    <row r="259" customFormat="false" ht="16.5" hidden="false" customHeight="false" outlineLevel="0" collapsed="false">
      <c r="A259" s="25"/>
      <c r="B259" s="26"/>
      <c r="C259" s="26"/>
      <c r="D259" s="26"/>
      <c r="E259" s="27"/>
    </row>
    <row r="260" customFormat="false" ht="16.5" hidden="false" customHeight="false" outlineLevel="0" collapsed="false">
      <c r="A260" s="22"/>
      <c r="B260" s="23"/>
      <c r="C260" s="23"/>
      <c r="D260" s="23"/>
      <c r="E260" s="24"/>
    </row>
    <row r="261" customFormat="false" ht="16.5" hidden="false" customHeight="false" outlineLevel="0" collapsed="false">
      <c r="A261" s="25"/>
      <c r="B261" s="26"/>
      <c r="C261" s="26"/>
      <c r="D261" s="26"/>
      <c r="E261" s="27"/>
    </row>
    <row r="262" customFormat="false" ht="16.5" hidden="false" customHeight="false" outlineLevel="0" collapsed="false">
      <c r="A262" s="22"/>
      <c r="B262" s="23"/>
      <c r="C262" s="23"/>
      <c r="D262" s="23"/>
      <c r="E262" s="24"/>
    </row>
    <row r="263" customFormat="false" ht="16.5" hidden="false" customHeight="false" outlineLevel="0" collapsed="false">
      <c r="A263" s="25"/>
      <c r="B263" s="26"/>
      <c r="C263" s="26"/>
      <c r="D263" s="26"/>
      <c r="E263" s="27"/>
    </row>
    <row r="264" customFormat="false" ht="16.5" hidden="false" customHeight="false" outlineLevel="0" collapsed="false">
      <c r="A264" s="22"/>
      <c r="B264" s="23"/>
      <c r="C264" s="23"/>
      <c r="D264" s="23"/>
      <c r="E264" s="24"/>
    </row>
    <row r="265" customFormat="false" ht="16.5" hidden="false" customHeight="false" outlineLevel="0" collapsed="false">
      <c r="A265" s="25"/>
      <c r="B265" s="26"/>
      <c r="C265" s="26"/>
      <c r="D265" s="26"/>
      <c r="E265" s="27"/>
    </row>
    <row r="266" customFormat="false" ht="16.5" hidden="false" customHeight="false" outlineLevel="0" collapsed="false">
      <c r="A266" s="22"/>
      <c r="B266" s="23"/>
      <c r="C266" s="23"/>
      <c r="D266" s="23"/>
      <c r="E266" s="24"/>
    </row>
    <row r="267" customFormat="false" ht="16.5" hidden="false" customHeight="false" outlineLevel="0" collapsed="false">
      <c r="A267" s="25"/>
      <c r="B267" s="26"/>
      <c r="C267" s="26"/>
      <c r="D267" s="26"/>
      <c r="E267" s="27"/>
    </row>
    <row r="268" customFormat="false" ht="16.5" hidden="false" customHeight="false" outlineLevel="0" collapsed="false">
      <c r="A268" s="22"/>
      <c r="B268" s="23"/>
      <c r="C268" s="23"/>
      <c r="D268" s="23"/>
      <c r="E268" s="24"/>
    </row>
    <row r="269" customFormat="false" ht="16.5" hidden="false" customHeight="false" outlineLevel="0" collapsed="false">
      <c r="A269" s="25"/>
      <c r="B269" s="26"/>
      <c r="C269" s="26"/>
      <c r="D269" s="26"/>
      <c r="E269" s="27"/>
    </row>
    <row r="270" customFormat="false" ht="16.5" hidden="false" customHeight="false" outlineLevel="0" collapsed="false">
      <c r="A270" s="22"/>
      <c r="B270" s="23"/>
      <c r="C270" s="23"/>
      <c r="D270" s="23"/>
      <c r="E270" s="24"/>
    </row>
    <row r="271" customFormat="false" ht="16.5" hidden="false" customHeight="false" outlineLevel="0" collapsed="false">
      <c r="A271" s="25"/>
      <c r="B271" s="26"/>
      <c r="C271" s="26"/>
      <c r="D271" s="26"/>
      <c r="E271" s="27"/>
    </row>
    <row r="272" customFormat="false" ht="16.5" hidden="false" customHeight="false" outlineLevel="0" collapsed="false">
      <c r="A272" s="22"/>
      <c r="B272" s="23"/>
      <c r="C272" s="23"/>
      <c r="D272" s="23"/>
      <c r="E272" s="24"/>
    </row>
    <row r="273" customFormat="false" ht="16.5" hidden="false" customHeight="false" outlineLevel="0" collapsed="false">
      <c r="A273" s="25"/>
      <c r="B273" s="26"/>
      <c r="C273" s="26"/>
      <c r="D273" s="26"/>
      <c r="E273" s="27"/>
    </row>
    <row r="274" customFormat="false" ht="16.5" hidden="false" customHeight="false" outlineLevel="0" collapsed="false">
      <c r="A274" s="22"/>
      <c r="B274" s="23"/>
      <c r="C274" s="23"/>
      <c r="D274" s="23"/>
      <c r="E274" s="24"/>
    </row>
    <row r="275" customFormat="false" ht="16.5" hidden="false" customHeight="false" outlineLevel="0" collapsed="false">
      <c r="A275" s="25"/>
      <c r="B275" s="26"/>
      <c r="C275" s="26"/>
      <c r="D275" s="26"/>
      <c r="E275" s="27"/>
    </row>
    <row r="276" customFormat="false" ht="16.5" hidden="false" customHeight="false" outlineLevel="0" collapsed="false">
      <c r="A276" s="22"/>
      <c r="B276" s="23"/>
      <c r="C276" s="23"/>
      <c r="D276" s="23"/>
      <c r="E276" s="24"/>
    </row>
    <row r="277" customFormat="false" ht="16.5" hidden="false" customHeight="false" outlineLevel="0" collapsed="false">
      <c r="A277" s="25"/>
      <c r="B277" s="26"/>
      <c r="C277" s="26"/>
      <c r="D277" s="26"/>
      <c r="E277" s="27"/>
    </row>
    <row r="278" customFormat="false" ht="16.5" hidden="false" customHeight="false" outlineLevel="0" collapsed="false">
      <c r="A278" s="22"/>
      <c r="B278" s="23"/>
      <c r="C278" s="23"/>
      <c r="D278" s="23"/>
      <c r="E278" s="24"/>
    </row>
    <row r="279" customFormat="false" ht="16.5" hidden="false" customHeight="false" outlineLevel="0" collapsed="false">
      <c r="A279" s="25"/>
      <c r="B279" s="26"/>
      <c r="C279" s="26"/>
      <c r="D279" s="26"/>
      <c r="E279" s="27"/>
    </row>
    <row r="280" customFormat="false" ht="16.5" hidden="false" customHeight="false" outlineLevel="0" collapsed="false">
      <c r="A280" s="22"/>
      <c r="B280" s="23"/>
      <c r="C280" s="23"/>
      <c r="D280" s="23"/>
      <c r="E280" s="24"/>
    </row>
    <row r="281" customFormat="false" ht="16.5" hidden="false" customHeight="false" outlineLevel="0" collapsed="false">
      <c r="A281" s="25"/>
      <c r="B281" s="26"/>
      <c r="C281" s="26"/>
      <c r="D281" s="26"/>
      <c r="E281" s="27"/>
    </row>
    <row r="282" customFormat="false" ht="16.5" hidden="false" customHeight="false" outlineLevel="0" collapsed="false">
      <c r="A282" s="22"/>
      <c r="B282" s="23"/>
      <c r="C282" s="23"/>
      <c r="D282" s="23"/>
      <c r="E282" s="24"/>
    </row>
    <row r="283" customFormat="false" ht="16.5" hidden="false" customHeight="false" outlineLevel="0" collapsed="false">
      <c r="A283" s="25"/>
      <c r="B283" s="26"/>
      <c r="C283" s="26"/>
      <c r="D283" s="26"/>
      <c r="E283" s="27"/>
    </row>
    <row r="284" customFormat="false" ht="16.5" hidden="false" customHeight="false" outlineLevel="0" collapsed="false">
      <c r="A284" s="22"/>
      <c r="B284" s="23"/>
      <c r="C284" s="23"/>
      <c r="D284" s="23"/>
      <c r="E284" s="24"/>
    </row>
    <row r="285" customFormat="false" ht="16.5" hidden="false" customHeight="false" outlineLevel="0" collapsed="false">
      <c r="A285" s="25"/>
      <c r="B285" s="26"/>
      <c r="C285" s="26"/>
      <c r="D285" s="26"/>
      <c r="E285" s="27"/>
    </row>
    <row r="286" customFormat="false" ht="16.5" hidden="false" customHeight="false" outlineLevel="0" collapsed="false">
      <c r="A286" s="22"/>
      <c r="B286" s="23"/>
      <c r="C286" s="23"/>
      <c r="D286" s="23"/>
      <c r="E286" s="24"/>
    </row>
    <row r="287" customFormat="false" ht="16.5" hidden="false" customHeight="false" outlineLevel="0" collapsed="false">
      <c r="A287" s="25"/>
      <c r="B287" s="26"/>
      <c r="C287" s="26"/>
      <c r="D287" s="26"/>
      <c r="E287" s="27"/>
    </row>
    <row r="288" customFormat="false" ht="16.5" hidden="false" customHeight="false" outlineLevel="0" collapsed="false">
      <c r="A288" s="22"/>
      <c r="B288" s="23"/>
      <c r="C288" s="23"/>
      <c r="D288" s="23"/>
      <c r="E288" s="24"/>
    </row>
    <row r="289" customFormat="false" ht="16.5" hidden="false" customHeight="false" outlineLevel="0" collapsed="false">
      <c r="A289" s="25"/>
      <c r="B289" s="26"/>
      <c r="C289" s="26"/>
      <c r="D289" s="26"/>
      <c r="E289" s="27"/>
    </row>
    <row r="290" customFormat="false" ht="16.5" hidden="false" customHeight="false" outlineLevel="0" collapsed="false">
      <c r="A290" s="22"/>
      <c r="B290" s="23"/>
      <c r="C290" s="23"/>
      <c r="D290" s="23"/>
      <c r="E290" s="24"/>
    </row>
    <row r="291" customFormat="false" ht="16.5" hidden="false" customHeight="false" outlineLevel="0" collapsed="false">
      <c r="A291" s="25"/>
      <c r="B291" s="26"/>
      <c r="C291" s="26"/>
      <c r="D291" s="26"/>
      <c r="E291" s="27"/>
    </row>
    <row r="292" customFormat="false" ht="16.5" hidden="false" customHeight="false" outlineLevel="0" collapsed="false">
      <c r="A292" s="22"/>
      <c r="B292" s="23"/>
      <c r="C292" s="23"/>
      <c r="D292" s="23"/>
      <c r="E292" s="24"/>
    </row>
    <row r="293" customFormat="false" ht="16.5" hidden="false" customHeight="false" outlineLevel="0" collapsed="false">
      <c r="A293" s="25"/>
      <c r="B293" s="26"/>
      <c r="C293" s="26"/>
      <c r="D293" s="26"/>
      <c r="E293" s="27"/>
    </row>
    <row r="294" customFormat="false" ht="16.5" hidden="false" customHeight="false" outlineLevel="0" collapsed="false">
      <c r="A294" s="22"/>
      <c r="B294" s="23"/>
      <c r="C294" s="23"/>
      <c r="D294" s="23"/>
      <c r="E294" s="24"/>
    </row>
    <row r="295" customFormat="false" ht="16.5" hidden="false" customHeight="false" outlineLevel="0" collapsed="false">
      <c r="A295" s="25"/>
      <c r="B295" s="26"/>
      <c r="C295" s="26"/>
      <c r="D295" s="26"/>
      <c r="E295" s="27"/>
    </row>
    <row r="296" customFormat="false" ht="16.5" hidden="false" customHeight="false" outlineLevel="0" collapsed="false">
      <c r="A296" s="22"/>
      <c r="B296" s="23"/>
      <c r="C296" s="23"/>
      <c r="D296" s="23"/>
      <c r="E296" s="24"/>
    </row>
    <row r="297" customFormat="false" ht="16.5" hidden="false" customHeight="false" outlineLevel="0" collapsed="false">
      <c r="A297" s="25"/>
      <c r="B297" s="26"/>
      <c r="C297" s="26"/>
      <c r="D297" s="26"/>
      <c r="E297" s="27"/>
    </row>
    <row r="298" customFormat="false" ht="16.5" hidden="false" customHeight="false" outlineLevel="0" collapsed="false">
      <c r="A298" s="22"/>
      <c r="B298" s="23"/>
      <c r="C298" s="23"/>
      <c r="D298" s="23"/>
      <c r="E298" s="24"/>
    </row>
    <row r="299" customFormat="false" ht="16.5" hidden="false" customHeight="false" outlineLevel="0" collapsed="false">
      <c r="A299" s="25"/>
      <c r="B299" s="26"/>
      <c r="C299" s="26"/>
      <c r="D299" s="26"/>
      <c r="E299" s="27"/>
    </row>
    <row r="300" customFormat="false" ht="16.5" hidden="false" customHeight="false" outlineLevel="0" collapsed="false">
      <c r="A300" s="22"/>
      <c r="B300" s="23"/>
      <c r="C300" s="23"/>
      <c r="D300" s="23"/>
      <c r="E300" s="24"/>
    </row>
    <row r="301" customFormat="false" ht="16.5" hidden="false" customHeight="false" outlineLevel="0" collapsed="false">
      <c r="A301" s="25"/>
      <c r="B301" s="26"/>
      <c r="C301" s="26"/>
      <c r="D301" s="26"/>
      <c r="E301" s="27"/>
    </row>
    <row r="302" customFormat="false" ht="16.5" hidden="false" customHeight="false" outlineLevel="0" collapsed="false">
      <c r="A302" s="22"/>
      <c r="B302" s="23"/>
      <c r="C302" s="23"/>
      <c r="D302" s="23"/>
      <c r="E302" s="24"/>
    </row>
    <row r="303" customFormat="false" ht="16.5" hidden="false" customHeight="false" outlineLevel="0" collapsed="false">
      <c r="A303" s="25"/>
      <c r="B303" s="26"/>
      <c r="C303" s="26"/>
      <c r="D303" s="26"/>
      <c r="E303" s="27"/>
    </row>
    <row r="304" customFormat="false" ht="16.5" hidden="false" customHeight="false" outlineLevel="0" collapsed="false">
      <c r="A304" s="22"/>
      <c r="B304" s="23"/>
      <c r="C304" s="23"/>
      <c r="D304" s="23"/>
      <c r="E304" s="24"/>
    </row>
    <row r="305" customFormat="false" ht="16.5" hidden="false" customHeight="false" outlineLevel="0" collapsed="false">
      <c r="A305" s="25"/>
      <c r="B305" s="26"/>
      <c r="C305" s="26"/>
      <c r="D305" s="26"/>
      <c r="E305" s="27"/>
    </row>
    <row r="306" customFormat="false" ht="16.5" hidden="false" customHeight="false" outlineLevel="0" collapsed="false">
      <c r="A306" s="22"/>
      <c r="B306" s="23"/>
      <c r="C306" s="23"/>
      <c r="D306" s="23"/>
      <c r="E306" s="24"/>
    </row>
    <row r="307" customFormat="false" ht="16.5" hidden="false" customHeight="false" outlineLevel="0" collapsed="false">
      <c r="A307" s="25"/>
      <c r="B307" s="26"/>
      <c r="C307" s="26"/>
      <c r="D307" s="26"/>
      <c r="E307" s="27"/>
    </row>
    <row r="308" customFormat="false" ht="16.5" hidden="false" customHeight="false" outlineLevel="0" collapsed="false">
      <c r="A308" s="22"/>
      <c r="B308" s="23"/>
      <c r="C308" s="23"/>
      <c r="D308" s="23"/>
      <c r="E308" s="24"/>
    </row>
    <row r="309" customFormat="false" ht="16.5" hidden="false" customHeight="false" outlineLevel="0" collapsed="false">
      <c r="A309" s="25"/>
      <c r="B309" s="26"/>
      <c r="C309" s="26"/>
      <c r="D309" s="26"/>
      <c r="E309" s="27"/>
    </row>
    <row r="310" customFormat="false" ht="16.5" hidden="false" customHeight="false" outlineLevel="0" collapsed="false">
      <c r="A310" s="22"/>
      <c r="B310" s="23"/>
      <c r="C310" s="23"/>
      <c r="D310" s="23"/>
      <c r="E310" s="24"/>
    </row>
    <row r="311" customFormat="false" ht="16.5" hidden="false" customHeight="false" outlineLevel="0" collapsed="false">
      <c r="A311" s="25"/>
      <c r="B311" s="26"/>
      <c r="C311" s="26"/>
      <c r="D311" s="26"/>
      <c r="E311" s="27"/>
    </row>
    <row r="312" customFormat="false" ht="16.5" hidden="false" customHeight="false" outlineLevel="0" collapsed="false">
      <c r="A312" s="22"/>
      <c r="B312" s="23"/>
      <c r="C312" s="23"/>
      <c r="D312" s="23"/>
      <c r="E312" s="24"/>
    </row>
    <row r="313" customFormat="false" ht="16.5" hidden="false" customHeight="false" outlineLevel="0" collapsed="false">
      <c r="A313" s="25"/>
      <c r="B313" s="26"/>
      <c r="C313" s="26"/>
      <c r="D313" s="26"/>
      <c r="E313" s="27"/>
    </row>
    <row r="314" customFormat="false" ht="16.5" hidden="false" customHeight="false" outlineLevel="0" collapsed="false">
      <c r="A314" s="22"/>
      <c r="B314" s="23"/>
      <c r="C314" s="23"/>
      <c r="D314" s="23"/>
      <c r="E314" s="24"/>
    </row>
    <row r="315" customFormat="false" ht="16.5" hidden="false" customHeight="false" outlineLevel="0" collapsed="false">
      <c r="A315" s="25"/>
      <c r="B315" s="26"/>
      <c r="C315" s="26"/>
      <c r="D315" s="26"/>
      <c r="E315" s="27"/>
    </row>
    <row r="316" customFormat="false" ht="16.5" hidden="false" customHeight="false" outlineLevel="0" collapsed="false">
      <c r="A316" s="22"/>
      <c r="B316" s="23"/>
      <c r="C316" s="23"/>
      <c r="D316" s="23"/>
      <c r="E316" s="24"/>
    </row>
    <row r="317" customFormat="false" ht="16.5" hidden="false" customHeight="false" outlineLevel="0" collapsed="false">
      <c r="A317" s="25"/>
      <c r="B317" s="26"/>
      <c r="C317" s="26"/>
      <c r="D317" s="26"/>
      <c r="E317" s="27"/>
    </row>
    <row r="318" customFormat="false" ht="16.5" hidden="false" customHeight="false" outlineLevel="0" collapsed="false">
      <c r="A318" s="22"/>
      <c r="B318" s="23"/>
      <c r="C318" s="23"/>
      <c r="D318" s="23"/>
      <c r="E318" s="24"/>
    </row>
    <row r="319" customFormat="false" ht="16.5" hidden="false" customHeight="false" outlineLevel="0" collapsed="false">
      <c r="A319" s="25"/>
      <c r="B319" s="26"/>
      <c r="C319" s="26"/>
      <c r="D319" s="26"/>
      <c r="E319" s="27"/>
    </row>
    <row r="320" customFormat="false" ht="16.5" hidden="false" customHeight="false" outlineLevel="0" collapsed="false">
      <c r="A320" s="22"/>
      <c r="B320" s="23"/>
      <c r="C320" s="23"/>
      <c r="D320" s="23"/>
      <c r="E320" s="24"/>
    </row>
    <row r="321" customFormat="false" ht="16.5" hidden="false" customHeight="false" outlineLevel="0" collapsed="false">
      <c r="A321" s="25"/>
      <c r="B321" s="26"/>
      <c r="C321" s="26"/>
      <c r="D321" s="26"/>
      <c r="E321" s="27"/>
    </row>
    <row r="322" customFormat="false" ht="16.5" hidden="false" customHeight="false" outlineLevel="0" collapsed="false">
      <c r="A322" s="22"/>
      <c r="B322" s="23"/>
      <c r="C322" s="23"/>
      <c r="D322" s="23"/>
      <c r="E322" s="24"/>
    </row>
    <row r="323" customFormat="false" ht="16.5" hidden="false" customHeight="false" outlineLevel="0" collapsed="false">
      <c r="A323" s="25"/>
      <c r="B323" s="26"/>
      <c r="C323" s="26"/>
      <c r="D323" s="26"/>
      <c r="E323" s="27"/>
    </row>
    <row r="324" customFormat="false" ht="16.5" hidden="false" customHeight="false" outlineLevel="0" collapsed="false">
      <c r="A324" s="22"/>
      <c r="B324" s="23"/>
      <c r="C324" s="23"/>
      <c r="D324" s="23"/>
      <c r="E324" s="24"/>
    </row>
    <row r="325" customFormat="false" ht="16.5" hidden="false" customHeight="false" outlineLevel="0" collapsed="false">
      <c r="A325" s="25"/>
      <c r="B325" s="26"/>
      <c r="C325" s="26"/>
      <c r="D325" s="26"/>
      <c r="E325" s="27"/>
    </row>
    <row r="326" customFormat="false" ht="16.5" hidden="false" customHeight="false" outlineLevel="0" collapsed="false">
      <c r="A326" s="22"/>
      <c r="B326" s="23"/>
      <c r="C326" s="23"/>
      <c r="D326" s="23"/>
      <c r="E326" s="24"/>
    </row>
    <row r="327" customFormat="false" ht="16.5" hidden="false" customHeight="false" outlineLevel="0" collapsed="false">
      <c r="A327" s="25"/>
      <c r="B327" s="26"/>
      <c r="C327" s="26"/>
      <c r="D327" s="26"/>
      <c r="E327" s="27"/>
    </row>
    <row r="328" customFormat="false" ht="16.5" hidden="false" customHeight="false" outlineLevel="0" collapsed="false">
      <c r="A328" s="22"/>
      <c r="B328" s="23"/>
      <c r="C328" s="23"/>
      <c r="D328" s="23"/>
      <c r="E328" s="24"/>
    </row>
    <row r="329" customFormat="false" ht="16.5" hidden="false" customHeight="false" outlineLevel="0" collapsed="false">
      <c r="A329" s="25"/>
      <c r="B329" s="26"/>
      <c r="C329" s="26"/>
      <c r="D329" s="26"/>
      <c r="E329" s="27"/>
    </row>
    <row r="330" customFormat="false" ht="16.5" hidden="false" customHeight="false" outlineLevel="0" collapsed="false">
      <c r="A330" s="22"/>
      <c r="B330" s="23"/>
      <c r="C330" s="23"/>
      <c r="D330" s="23"/>
      <c r="E330" s="24"/>
    </row>
    <row r="331" customFormat="false" ht="16.5" hidden="false" customHeight="false" outlineLevel="0" collapsed="false">
      <c r="A331" s="25"/>
      <c r="B331" s="26"/>
      <c r="C331" s="26"/>
      <c r="D331" s="26"/>
      <c r="E331" s="27"/>
    </row>
    <row r="332" customFormat="false" ht="16.5" hidden="false" customHeight="false" outlineLevel="0" collapsed="false">
      <c r="A332" s="22"/>
      <c r="B332" s="23"/>
      <c r="C332" s="23"/>
      <c r="D332" s="23"/>
      <c r="E332" s="24"/>
    </row>
    <row r="333" customFormat="false" ht="16.5" hidden="false" customHeight="false" outlineLevel="0" collapsed="false">
      <c r="A333" s="25"/>
      <c r="B333" s="26"/>
      <c r="C333" s="26"/>
      <c r="D333" s="26"/>
      <c r="E333" s="27"/>
    </row>
    <row r="334" customFormat="false" ht="16.5" hidden="false" customHeight="false" outlineLevel="0" collapsed="false">
      <c r="A334" s="22"/>
      <c r="B334" s="23"/>
      <c r="C334" s="23"/>
      <c r="D334" s="23"/>
      <c r="E334" s="24"/>
    </row>
    <row r="335" customFormat="false" ht="16.5" hidden="false" customHeight="false" outlineLevel="0" collapsed="false">
      <c r="A335" s="25"/>
      <c r="B335" s="26"/>
      <c r="C335" s="26"/>
      <c r="D335" s="26"/>
      <c r="E335" s="27"/>
    </row>
    <row r="336" customFormat="false" ht="16.5" hidden="false" customHeight="false" outlineLevel="0" collapsed="false">
      <c r="A336" s="22"/>
      <c r="B336" s="23"/>
      <c r="C336" s="23"/>
      <c r="D336" s="23"/>
      <c r="E336" s="24"/>
    </row>
    <row r="337" customFormat="false" ht="16.5" hidden="false" customHeight="false" outlineLevel="0" collapsed="false">
      <c r="A337" s="25"/>
      <c r="B337" s="26"/>
      <c r="C337" s="26"/>
      <c r="D337" s="26"/>
      <c r="E337" s="27"/>
    </row>
    <row r="338" customFormat="false" ht="16.5" hidden="false" customHeight="false" outlineLevel="0" collapsed="false">
      <c r="A338" s="22"/>
      <c r="B338" s="23"/>
      <c r="C338" s="23"/>
      <c r="D338" s="23"/>
      <c r="E338" s="24"/>
    </row>
    <row r="339" customFormat="false" ht="16.5" hidden="false" customHeight="false" outlineLevel="0" collapsed="false">
      <c r="A339" s="25"/>
      <c r="B339" s="26"/>
      <c r="C339" s="26"/>
      <c r="D339" s="26"/>
      <c r="E339" s="27"/>
    </row>
    <row r="340" customFormat="false" ht="16.5" hidden="false" customHeight="false" outlineLevel="0" collapsed="false">
      <c r="A340" s="22"/>
      <c r="B340" s="23"/>
      <c r="C340" s="23"/>
      <c r="D340" s="23"/>
      <c r="E340" s="24"/>
    </row>
    <row r="341" customFormat="false" ht="16.5" hidden="false" customHeight="false" outlineLevel="0" collapsed="false">
      <c r="A341" s="25"/>
      <c r="B341" s="26"/>
      <c r="C341" s="26"/>
      <c r="D341" s="26"/>
      <c r="E341" s="27"/>
    </row>
    <row r="342" customFormat="false" ht="16.5" hidden="false" customHeight="false" outlineLevel="0" collapsed="false">
      <c r="A342" s="22"/>
      <c r="B342" s="23"/>
      <c r="C342" s="23"/>
      <c r="D342" s="23"/>
      <c r="E342" s="24"/>
    </row>
    <row r="343" customFormat="false" ht="16.5" hidden="false" customHeight="false" outlineLevel="0" collapsed="false">
      <c r="A343" s="25"/>
      <c r="B343" s="26"/>
      <c r="C343" s="26"/>
      <c r="D343" s="26"/>
      <c r="E343" s="27"/>
    </row>
    <row r="344" customFormat="false" ht="16.5" hidden="false" customHeight="false" outlineLevel="0" collapsed="false">
      <c r="A344" s="22"/>
      <c r="B344" s="23"/>
      <c r="C344" s="23"/>
      <c r="D344" s="23"/>
      <c r="E344" s="24"/>
    </row>
    <row r="345" customFormat="false" ht="16.5" hidden="false" customHeight="false" outlineLevel="0" collapsed="false">
      <c r="A345" s="25"/>
      <c r="B345" s="26"/>
      <c r="C345" s="26"/>
      <c r="D345" s="26"/>
      <c r="E345" s="27"/>
    </row>
    <row r="346" customFormat="false" ht="16.5" hidden="false" customHeight="false" outlineLevel="0" collapsed="false">
      <c r="A346" s="22"/>
      <c r="B346" s="23"/>
      <c r="C346" s="23"/>
      <c r="D346" s="23"/>
      <c r="E346" s="24"/>
    </row>
    <row r="347" customFormat="false" ht="16.5" hidden="false" customHeight="false" outlineLevel="0" collapsed="false">
      <c r="A347" s="25"/>
      <c r="B347" s="26"/>
      <c r="C347" s="26"/>
      <c r="D347" s="26"/>
      <c r="E347" s="27"/>
    </row>
    <row r="348" customFormat="false" ht="16.5" hidden="false" customHeight="false" outlineLevel="0" collapsed="false">
      <c r="A348" s="22"/>
      <c r="B348" s="23"/>
      <c r="C348" s="23"/>
      <c r="D348" s="23"/>
      <c r="E348" s="24"/>
    </row>
    <row r="349" customFormat="false" ht="16.5" hidden="false" customHeight="false" outlineLevel="0" collapsed="false">
      <c r="A349" s="25"/>
      <c r="B349" s="26"/>
      <c r="C349" s="26"/>
      <c r="D349" s="26"/>
      <c r="E349" s="27"/>
    </row>
    <row r="350" customFormat="false" ht="16.5" hidden="false" customHeight="false" outlineLevel="0" collapsed="false">
      <c r="A350" s="22"/>
      <c r="B350" s="23"/>
      <c r="C350" s="23"/>
      <c r="D350" s="23"/>
      <c r="E350" s="24"/>
    </row>
    <row r="351" customFormat="false" ht="16.5" hidden="false" customHeight="false" outlineLevel="0" collapsed="false">
      <c r="A351" s="25"/>
      <c r="B351" s="26"/>
      <c r="C351" s="26"/>
      <c r="D351" s="26"/>
      <c r="E351" s="27"/>
    </row>
    <row r="352" customFormat="false" ht="16.5" hidden="false" customHeight="false" outlineLevel="0" collapsed="false">
      <c r="A352" s="22"/>
      <c r="B352" s="23"/>
      <c r="C352" s="23"/>
      <c r="D352" s="23"/>
      <c r="E352" s="24"/>
    </row>
    <row r="353" customFormat="false" ht="16.5" hidden="false" customHeight="false" outlineLevel="0" collapsed="false">
      <c r="A353" s="25"/>
      <c r="B353" s="26"/>
      <c r="C353" s="26"/>
      <c r="D353" s="26"/>
      <c r="E353" s="27"/>
    </row>
    <row r="354" customFormat="false" ht="16.5" hidden="false" customHeight="false" outlineLevel="0" collapsed="false">
      <c r="A354" s="22"/>
      <c r="B354" s="23"/>
      <c r="C354" s="23"/>
      <c r="D354" s="23"/>
      <c r="E354" s="24"/>
    </row>
    <row r="355" customFormat="false" ht="16.5" hidden="false" customHeight="false" outlineLevel="0" collapsed="false">
      <c r="A355" s="25"/>
      <c r="B355" s="26"/>
      <c r="C355" s="26"/>
      <c r="D355" s="26"/>
      <c r="E355" s="27"/>
    </row>
    <row r="356" customFormat="false" ht="16.5" hidden="false" customHeight="false" outlineLevel="0" collapsed="false">
      <c r="A356" s="22"/>
      <c r="B356" s="23"/>
      <c r="C356" s="23"/>
      <c r="D356" s="23"/>
      <c r="E356" s="24"/>
    </row>
    <row r="357" customFormat="false" ht="16.5" hidden="false" customHeight="false" outlineLevel="0" collapsed="false">
      <c r="A357" s="25"/>
      <c r="B357" s="26"/>
      <c r="C357" s="26"/>
      <c r="D357" s="26"/>
      <c r="E357" s="27"/>
    </row>
    <row r="358" customFormat="false" ht="16.5" hidden="false" customHeight="false" outlineLevel="0" collapsed="false">
      <c r="A358" s="22"/>
      <c r="B358" s="23"/>
      <c r="C358" s="23"/>
      <c r="D358" s="23"/>
      <c r="E358" s="24"/>
    </row>
    <row r="359" customFormat="false" ht="16.5" hidden="false" customHeight="false" outlineLevel="0" collapsed="false">
      <c r="A359" s="25"/>
      <c r="B359" s="26"/>
      <c r="C359" s="26"/>
      <c r="D359" s="26"/>
      <c r="E359" s="27"/>
    </row>
    <row r="360" customFormat="false" ht="16.5" hidden="false" customHeight="false" outlineLevel="0" collapsed="false">
      <c r="A360" s="22"/>
      <c r="B360" s="23"/>
      <c r="C360" s="23"/>
      <c r="D360" s="23"/>
      <c r="E360" s="24"/>
    </row>
    <row r="361" customFormat="false" ht="16.5" hidden="false" customHeight="false" outlineLevel="0" collapsed="false">
      <c r="A361" s="25"/>
      <c r="B361" s="26"/>
      <c r="C361" s="26"/>
      <c r="D361" s="26"/>
      <c r="E361" s="27"/>
    </row>
    <row r="362" customFormat="false" ht="16.5" hidden="false" customHeight="false" outlineLevel="0" collapsed="false">
      <c r="A362" s="22"/>
      <c r="B362" s="23"/>
      <c r="C362" s="23"/>
      <c r="D362" s="23"/>
      <c r="E362" s="24"/>
    </row>
    <row r="363" customFormat="false" ht="16.5" hidden="false" customHeight="false" outlineLevel="0" collapsed="false">
      <c r="A363" s="25"/>
      <c r="B363" s="26"/>
      <c r="C363" s="26"/>
      <c r="D363" s="26"/>
      <c r="E363" s="27"/>
    </row>
    <row r="364" customFormat="false" ht="16.5" hidden="false" customHeight="false" outlineLevel="0" collapsed="false">
      <c r="A364" s="22"/>
      <c r="B364" s="23"/>
      <c r="C364" s="23"/>
      <c r="D364" s="23"/>
      <c r="E364" s="24"/>
    </row>
    <row r="365" customFormat="false" ht="16.5" hidden="false" customHeight="false" outlineLevel="0" collapsed="false">
      <c r="A365" s="25"/>
      <c r="B365" s="26"/>
      <c r="C365" s="26"/>
      <c r="D365" s="26"/>
      <c r="E365" s="27"/>
    </row>
    <row r="366" customFormat="false" ht="16.5" hidden="false" customHeight="false" outlineLevel="0" collapsed="false">
      <c r="A366" s="22"/>
      <c r="B366" s="23"/>
      <c r="C366" s="23"/>
      <c r="D366" s="23"/>
      <c r="E366" s="24"/>
    </row>
    <row r="367" customFormat="false" ht="16.5" hidden="false" customHeight="false" outlineLevel="0" collapsed="false">
      <c r="A367" s="25"/>
      <c r="B367" s="26"/>
      <c r="C367" s="26"/>
      <c r="D367" s="26"/>
      <c r="E367" s="27"/>
    </row>
    <row r="368" customFormat="false" ht="16.5" hidden="false" customHeight="false" outlineLevel="0" collapsed="false">
      <c r="A368" s="22"/>
      <c r="B368" s="23"/>
      <c r="C368" s="23"/>
      <c r="D368" s="23"/>
      <c r="E368" s="24"/>
    </row>
    <row r="369" customFormat="false" ht="16.5" hidden="false" customHeight="false" outlineLevel="0" collapsed="false">
      <c r="A369" s="25"/>
      <c r="B369" s="26"/>
      <c r="C369" s="26"/>
      <c r="D369" s="26"/>
      <c r="E369" s="27"/>
    </row>
    <row r="370" customFormat="false" ht="16.5" hidden="false" customHeight="false" outlineLevel="0" collapsed="false">
      <c r="A370" s="22"/>
      <c r="B370" s="23"/>
      <c r="C370" s="23"/>
      <c r="D370" s="23"/>
      <c r="E370" s="24"/>
    </row>
    <row r="371" customFormat="false" ht="16.5" hidden="false" customHeight="false" outlineLevel="0" collapsed="false">
      <c r="A371" s="25"/>
      <c r="B371" s="26"/>
      <c r="C371" s="26"/>
      <c r="D371" s="26"/>
      <c r="E371" s="27"/>
    </row>
    <row r="372" customFormat="false" ht="16.5" hidden="false" customHeight="false" outlineLevel="0" collapsed="false">
      <c r="A372" s="22"/>
      <c r="B372" s="23"/>
      <c r="C372" s="23"/>
      <c r="D372" s="23"/>
      <c r="E372" s="24"/>
    </row>
    <row r="373" customFormat="false" ht="16.5" hidden="false" customHeight="false" outlineLevel="0" collapsed="false">
      <c r="A373" s="25"/>
      <c r="B373" s="26"/>
      <c r="C373" s="26"/>
      <c r="D373" s="26"/>
      <c r="E373" s="27"/>
    </row>
    <row r="374" customFormat="false" ht="16.5" hidden="false" customHeight="false" outlineLevel="0" collapsed="false">
      <c r="A374" s="22"/>
      <c r="B374" s="23"/>
      <c r="C374" s="23"/>
      <c r="D374" s="23"/>
      <c r="E374" s="24"/>
    </row>
    <row r="375" customFormat="false" ht="16.5" hidden="false" customHeight="false" outlineLevel="0" collapsed="false">
      <c r="A375" s="25"/>
      <c r="B375" s="26"/>
      <c r="C375" s="26"/>
      <c r="D375" s="26"/>
      <c r="E375" s="27"/>
    </row>
    <row r="376" customFormat="false" ht="16.5" hidden="false" customHeight="false" outlineLevel="0" collapsed="false">
      <c r="A376" s="22"/>
      <c r="B376" s="23"/>
      <c r="C376" s="23"/>
      <c r="D376" s="23"/>
      <c r="E376" s="24"/>
    </row>
    <row r="377" customFormat="false" ht="16.5" hidden="false" customHeight="false" outlineLevel="0" collapsed="false">
      <c r="A377" s="25"/>
      <c r="B377" s="26"/>
      <c r="C377" s="26"/>
      <c r="D377" s="26"/>
      <c r="E377" s="27"/>
    </row>
    <row r="378" customFormat="false" ht="16.5" hidden="false" customHeight="false" outlineLevel="0" collapsed="false">
      <c r="A378" s="22"/>
      <c r="B378" s="23"/>
      <c r="C378" s="23"/>
      <c r="D378" s="23"/>
      <c r="E378" s="24"/>
    </row>
    <row r="379" customFormat="false" ht="16.5" hidden="false" customHeight="false" outlineLevel="0" collapsed="false">
      <c r="A379" s="25"/>
      <c r="B379" s="26"/>
      <c r="C379" s="26"/>
      <c r="D379" s="26"/>
      <c r="E379" s="27"/>
    </row>
    <row r="380" customFormat="false" ht="16.5" hidden="false" customHeight="false" outlineLevel="0" collapsed="false">
      <c r="A380" s="22"/>
      <c r="B380" s="23"/>
      <c r="C380" s="23"/>
      <c r="D380" s="23"/>
      <c r="E380" s="24"/>
    </row>
    <row r="381" customFormat="false" ht="16.5" hidden="false" customHeight="false" outlineLevel="0" collapsed="false">
      <c r="A381" s="25"/>
      <c r="B381" s="26"/>
      <c r="C381" s="26"/>
      <c r="D381" s="26"/>
      <c r="E381" s="27"/>
    </row>
    <row r="382" customFormat="false" ht="16.5" hidden="false" customHeight="false" outlineLevel="0" collapsed="false">
      <c r="A382" s="22"/>
      <c r="B382" s="23"/>
      <c r="C382" s="23"/>
      <c r="D382" s="23"/>
      <c r="E382" s="24"/>
    </row>
    <row r="383" customFormat="false" ht="16.5" hidden="false" customHeight="false" outlineLevel="0" collapsed="false">
      <c r="A383" s="25"/>
      <c r="B383" s="26"/>
      <c r="C383" s="26"/>
      <c r="D383" s="26"/>
      <c r="E383" s="27"/>
    </row>
    <row r="384" customFormat="false" ht="16.5" hidden="false" customHeight="false" outlineLevel="0" collapsed="false">
      <c r="A384" s="22"/>
      <c r="B384" s="23"/>
      <c r="C384" s="23"/>
      <c r="D384" s="23"/>
      <c r="E384" s="24"/>
    </row>
    <row r="385" customFormat="false" ht="16.5" hidden="false" customHeight="false" outlineLevel="0" collapsed="false">
      <c r="A385" s="25"/>
      <c r="B385" s="26"/>
      <c r="C385" s="26"/>
      <c r="D385" s="26"/>
      <c r="E385" s="27"/>
    </row>
    <row r="386" customFormat="false" ht="16.5" hidden="false" customHeight="false" outlineLevel="0" collapsed="false">
      <c r="A386" s="22"/>
      <c r="B386" s="23"/>
      <c r="C386" s="23"/>
      <c r="D386" s="23"/>
      <c r="E386" s="24"/>
    </row>
    <row r="387" customFormat="false" ht="16.5" hidden="false" customHeight="false" outlineLevel="0" collapsed="false">
      <c r="A387" s="25"/>
      <c r="B387" s="26"/>
      <c r="C387" s="26"/>
      <c r="D387" s="26"/>
      <c r="E387" s="27"/>
    </row>
    <row r="388" customFormat="false" ht="16.5" hidden="false" customHeight="false" outlineLevel="0" collapsed="false">
      <c r="A388" s="22"/>
      <c r="B388" s="23"/>
      <c r="C388" s="23"/>
      <c r="D388" s="23"/>
      <c r="E388" s="24"/>
    </row>
    <row r="389" customFormat="false" ht="16.5" hidden="false" customHeight="false" outlineLevel="0" collapsed="false">
      <c r="A389" s="25"/>
      <c r="B389" s="26"/>
      <c r="C389" s="26"/>
      <c r="D389" s="26"/>
      <c r="E389" s="27"/>
    </row>
    <row r="390" customFormat="false" ht="16.5" hidden="false" customHeight="false" outlineLevel="0" collapsed="false">
      <c r="A390" s="22"/>
      <c r="B390" s="23"/>
      <c r="C390" s="23"/>
      <c r="D390" s="23"/>
      <c r="E390" s="24"/>
    </row>
    <row r="391" customFormat="false" ht="16.5" hidden="false" customHeight="false" outlineLevel="0" collapsed="false">
      <c r="A391" s="25"/>
      <c r="B391" s="26"/>
      <c r="C391" s="26"/>
      <c r="D391" s="26"/>
      <c r="E391" s="27"/>
    </row>
    <row r="392" customFormat="false" ht="16.5" hidden="false" customHeight="false" outlineLevel="0" collapsed="false">
      <c r="A392" s="22"/>
      <c r="B392" s="23"/>
      <c r="C392" s="23"/>
      <c r="D392" s="23"/>
      <c r="E392" s="24"/>
    </row>
    <row r="393" customFormat="false" ht="16.5" hidden="false" customHeight="false" outlineLevel="0" collapsed="false">
      <c r="A393" s="25"/>
      <c r="B393" s="26"/>
      <c r="C393" s="26"/>
      <c r="D393" s="26"/>
      <c r="E393" s="27"/>
    </row>
    <row r="394" customFormat="false" ht="16.5" hidden="false" customHeight="false" outlineLevel="0" collapsed="false">
      <c r="A394" s="22"/>
      <c r="B394" s="23"/>
      <c r="C394" s="23"/>
      <c r="D394" s="23"/>
      <c r="E394" s="24"/>
    </row>
    <row r="395" customFormat="false" ht="16.5" hidden="false" customHeight="false" outlineLevel="0" collapsed="false">
      <c r="A395" s="25"/>
      <c r="B395" s="26"/>
      <c r="C395" s="26"/>
      <c r="D395" s="26"/>
      <c r="E395" s="27"/>
    </row>
    <row r="396" customFormat="false" ht="16.5" hidden="false" customHeight="false" outlineLevel="0" collapsed="false">
      <c r="A396" s="22"/>
      <c r="B396" s="23"/>
      <c r="C396" s="23"/>
      <c r="D396" s="23"/>
      <c r="E396" s="24"/>
    </row>
    <row r="397" customFormat="false" ht="16.5" hidden="false" customHeight="false" outlineLevel="0" collapsed="false">
      <c r="A397" s="25"/>
      <c r="B397" s="26"/>
      <c r="C397" s="26"/>
      <c r="D397" s="26"/>
      <c r="E397" s="27"/>
    </row>
    <row r="398" customFormat="false" ht="16.5" hidden="false" customHeight="false" outlineLevel="0" collapsed="false">
      <c r="A398" s="22"/>
      <c r="B398" s="23"/>
      <c r="C398" s="23"/>
      <c r="D398" s="23"/>
      <c r="E398" s="24"/>
    </row>
    <row r="399" customFormat="false" ht="16.5" hidden="false" customHeight="false" outlineLevel="0" collapsed="false">
      <c r="A399" s="25"/>
      <c r="B399" s="26"/>
      <c r="C399" s="26"/>
      <c r="D399" s="26"/>
      <c r="E399" s="27"/>
    </row>
    <row r="400" customFormat="false" ht="16.5" hidden="false" customHeight="false" outlineLevel="0" collapsed="false">
      <c r="A400" s="22"/>
      <c r="B400" s="23"/>
      <c r="C400" s="23"/>
      <c r="D400" s="23"/>
      <c r="E400" s="24"/>
    </row>
    <row r="401" customFormat="false" ht="16.5" hidden="false" customHeight="false" outlineLevel="0" collapsed="false">
      <c r="A401" s="25"/>
      <c r="B401" s="26"/>
      <c r="C401" s="26"/>
      <c r="D401" s="26"/>
      <c r="E401" s="27"/>
    </row>
    <row r="402" customFormat="false" ht="16.5" hidden="false" customHeight="false" outlineLevel="0" collapsed="false">
      <c r="A402" s="22"/>
      <c r="B402" s="23"/>
      <c r="C402" s="23"/>
      <c r="D402" s="23"/>
      <c r="E402" s="24"/>
    </row>
    <row r="403" customFormat="false" ht="16.5" hidden="false" customHeight="false" outlineLevel="0" collapsed="false">
      <c r="A403" s="25"/>
      <c r="B403" s="26"/>
      <c r="C403" s="26"/>
      <c r="D403" s="26"/>
      <c r="E403" s="27"/>
    </row>
    <row r="404" customFormat="false" ht="16.5" hidden="false" customHeight="false" outlineLevel="0" collapsed="false">
      <c r="A404" s="22"/>
      <c r="B404" s="23"/>
      <c r="C404" s="23"/>
      <c r="D404" s="23"/>
      <c r="E404" s="24"/>
    </row>
    <row r="405" customFormat="false" ht="16.5" hidden="false" customHeight="false" outlineLevel="0" collapsed="false">
      <c r="A405" s="25"/>
      <c r="B405" s="26"/>
      <c r="C405" s="26"/>
      <c r="D405" s="26"/>
      <c r="E405" s="27"/>
    </row>
  </sheetData>
  <sheetProtection sheet="true" formatCells="false" formatColumns="false" formatRows="false" insertRows="false" autoFilter="false"/>
  <mergeCells count="2">
    <mergeCell ref="A1:E1"/>
    <mergeCell ref="A2:E2"/>
  </mergeCells>
  <dataValidations count="1">
    <dataValidation allowBlank="true" errorStyle="stop" operator="between" showDropDown="false" showErrorMessage="false" showInputMessage="false" sqref="C6:C405" type="list">
      <formula1>CategoryList</formula1>
      <formula2>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32"/>
  </cols>
  <sheetData>
    <row r="1" customFormat="false" ht="25.5" hidden="false" customHeight="true" outlineLevel="0" collapsed="false">
      <c r="A1" s="1" t="s">
        <v>67</v>
      </c>
      <c r="B1" s="1"/>
      <c r="C1" s="1"/>
      <c r="D1" s="1"/>
    </row>
    <row r="2" customFormat="false" ht="15.75" hidden="false" customHeight="true" outlineLevel="0" collapsed="false">
      <c r="A2" s="3" t="s">
        <v>68</v>
      </c>
      <c r="B2" s="3"/>
      <c r="C2" s="3"/>
      <c r="D2" s="3"/>
    </row>
    <row r="4" customFormat="false" ht="16.5" hidden="false" customHeight="false" outlineLevel="0" collapsed="false">
      <c r="A4" s="20" t="s">
        <v>69</v>
      </c>
    </row>
    <row r="5" customFormat="false" ht="21.75" hidden="false" customHeight="true" outlineLevel="0" collapsed="false">
      <c r="A5" s="21" t="s">
        <v>50</v>
      </c>
      <c r="B5" s="21" t="s">
        <v>70</v>
      </c>
      <c r="C5" s="21" t="s">
        <v>53</v>
      </c>
      <c r="D5" s="21" t="s">
        <v>71</v>
      </c>
    </row>
    <row r="6" customFormat="false" ht="16.5" hidden="false" customHeight="false" outlineLevel="0" collapsed="false">
      <c r="A6" s="22" t="n">
        <v>46211</v>
      </c>
      <c r="B6" s="23" t="s">
        <v>72</v>
      </c>
      <c r="C6" s="24" t="n">
        <v>8200</v>
      </c>
      <c r="D6" s="23"/>
    </row>
    <row r="7" customFormat="false" ht="16.5" hidden="false" customHeight="false" outlineLevel="0" collapsed="false">
      <c r="A7" s="25" t="n">
        <v>46225</v>
      </c>
      <c r="B7" s="26" t="s">
        <v>73</v>
      </c>
      <c r="C7" s="27" t="n">
        <v>3400</v>
      </c>
      <c r="D7" s="26" t="s">
        <v>74</v>
      </c>
    </row>
    <row r="8" customFormat="false" ht="16.5" hidden="false" customHeight="false" outlineLevel="0" collapsed="false">
      <c r="A8" s="22" t="n">
        <v>46240</v>
      </c>
      <c r="B8" s="23" t="s">
        <v>72</v>
      </c>
      <c r="C8" s="24" t="n">
        <v>8200</v>
      </c>
      <c r="D8" s="23"/>
    </row>
    <row r="9" customFormat="false" ht="16.5" hidden="false" customHeight="false" outlineLevel="0" collapsed="false">
      <c r="A9" s="25" t="n">
        <v>46252</v>
      </c>
      <c r="B9" s="26" t="s">
        <v>75</v>
      </c>
      <c r="C9" s="27" t="n">
        <v>2750</v>
      </c>
      <c r="D9" s="26"/>
    </row>
    <row r="10" customFormat="false" ht="16.5" hidden="false" customHeight="false" outlineLevel="0" collapsed="false">
      <c r="A10" s="22"/>
      <c r="B10" s="23"/>
      <c r="C10" s="24"/>
      <c r="D10" s="23"/>
    </row>
    <row r="11" customFormat="false" ht="16.5" hidden="false" customHeight="false" outlineLevel="0" collapsed="false">
      <c r="A11" s="25"/>
      <c r="B11" s="26"/>
      <c r="C11" s="27"/>
      <c r="D11" s="26"/>
    </row>
    <row r="12" customFormat="false" ht="16.5" hidden="false" customHeight="false" outlineLevel="0" collapsed="false">
      <c r="A12" s="22"/>
      <c r="B12" s="23"/>
      <c r="C12" s="24"/>
      <c r="D12" s="23"/>
    </row>
    <row r="13" customFormat="false" ht="16.5" hidden="false" customHeight="false" outlineLevel="0" collapsed="false">
      <c r="A13" s="25"/>
      <c r="B13" s="26"/>
      <c r="C13" s="27"/>
      <c r="D13" s="26"/>
    </row>
    <row r="14" customFormat="false" ht="16.5" hidden="false" customHeight="false" outlineLevel="0" collapsed="false">
      <c r="A14" s="22"/>
      <c r="B14" s="23"/>
      <c r="C14" s="24"/>
      <c r="D14" s="23"/>
    </row>
    <row r="15" customFormat="false" ht="16.5" hidden="false" customHeight="false" outlineLevel="0" collapsed="false">
      <c r="A15" s="25"/>
      <c r="B15" s="26"/>
      <c r="C15" s="27"/>
      <c r="D15" s="26"/>
    </row>
    <row r="16" customFormat="false" ht="16.5" hidden="false" customHeight="false" outlineLevel="0" collapsed="false">
      <c r="A16" s="22"/>
      <c r="B16" s="23"/>
      <c r="C16" s="24"/>
      <c r="D16" s="23"/>
    </row>
    <row r="17" customFormat="false" ht="16.5" hidden="false" customHeight="false" outlineLevel="0" collapsed="false">
      <c r="A17" s="25"/>
      <c r="B17" s="26"/>
      <c r="C17" s="27"/>
      <c r="D17" s="26"/>
    </row>
    <row r="18" customFormat="false" ht="16.5" hidden="false" customHeight="false" outlineLevel="0" collapsed="false">
      <c r="A18" s="22"/>
      <c r="B18" s="23"/>
      <c r="C18" s="24"/>
      <c r="D18" s="23"/>
    </row>
    <row r="19" customFormat="false" ht="16.5" hidden="false" customHeight="false" outlineLevel="0" collapsed="false">
      <c r="A19" s="25"/>
      <c r="B19" s="26"/>
      <c r="C19" s="27"/>
      <c r="D19" s="26"/>
    </row>
    <row r="20" customFormat="false" ht="16.5" hidden="false" customHeight="false" outlineLevel="0" collapsed="false">
      <c r="A20" s="22"/>
      <c r="B20" s="23"/>
      <c r="C20" s="24"/>
      <c r="D20" s="23"/>
    </row>
    <row r="21" customFormat="false" ht="16.5" hidden="false" customHeight="false" outlineLevel="0" collapsed="false">
      <c r="A21" s="25"/>
      <c r="B21" s="26"/>
      <c r="C21" s="27"/>
      <c r="D21" s="26"/>
    </row>
    <row r="22" customFormat="false" ht="16.5" hidden="false" customHeight="false" outlineLevel="0" collapsed="false">
      <c r="A22" s="22"/>
      <c r="B22" s="23"/>
      <c r="C22" s="24"/>
      <c r="D22" s="23"/>
    </row>
    <row r="23" customFormat="false" ht="16.5" hidden="false" customHeight="false" outlineLevel="0" collapsed="false">
      <c r="A23" s="25"/>
      <c r="B23" s="26"/>
      <c r="C23" s="27"/>
      <c r="D23" s="26"/>
    </row>
    <row r="24" customFormat="false" ht="16.5" hidden="false" customHeight="false" outlineLevel="0" collapsed="false">
      <c r="A24" s="22"/>
      <c r="B24" s="23"/>
      <c r="C24" s="24"/>
      <c r="D24" s="23"/>
    </row>
    <row r="25" customFormat="false" ht="16.5" hidden="false" customHeight="false" outlineLevel="0" collapsed="false">
      <c r="A25" s="25"/>
      <c r="B25" s="26"/>
      <c r="C25" s="27"/>
      <c r="D25" s="26"/>
    </row>
    <row r="26" customFormat="false" ht="16.5" hidden="false" customHeight="false" outlineLevel="0" collapsed="false">
      <c r="A26" s="22"/>
      <c r="B26" s="23"/>
      <c r="C26" s="24"/>
      <c r="D26" s="23"/>
    </row>
    <row r="27" customFormat="false" ht="16.5" hidden="false" customHeight="false" outlineLevel="0" collapsed="false">
      <c r="A27" s="25"/>
      <c r="B27" s="26"/>
      <c r="C27" s="27"/>
      <c r="D27" s="26"/>
    </row>
    <row r="28" customFormat="false" ht="16.5" hidden="false" customHeight="false" outlineLevel="0" collapsed="false">
      <c r="A28" s="22"/>
      <c r="B28" s="23"/>
      <c r="C28" s="24"/>
      <c r="D28" s="23"/>
    </row>
    <row r="29" customFormat="false" ht="16.5" hidden="false" customHeight="false" outlineLevel="0" collapsed="false">
      <c r="A29" s="25"/>
      <c r="B29" s="26"/>
      <c r="C29" s="27"/>
      <c r="D29" s="26"/>
    </row>
    <row r="30" customFormat="false" ht="16.5" hidden="false" customHeight="false" outlineLevel="0" collapsed="false">
      <c r="A30" s="22"/>
      <c r="B30" s="23"/>
      <c r="C30" s="24"/>
      <c r="D30" s="23"/>
    </row>
    <row r="31" customFormat="false" ht="16.5" hidden="false" customHeight="false" outlineLevel="0" collapsed="false">
      <c r="A31" s="25"/>
      <c r="B31" s="26"/>
      <c r="C31" s="27"/>
      <c r="D31" s="26"/>
    </row>
    <row r="32" customFormat="false" ht="16.5" hidden="false" customHeight="false" outlineLevel="0" collapsed="false">
      <c r="A32" s="22"/>
      <c r="B32" s="23"/>
      <c r="C32" s="24"/>
      <c r="D32" s="23"/>
    </row>
    <row r="33" customFormat="false" ht="16.5" hidden="false" customHeight="false" outlineLevel="0" collapsed="false">
      <c r="A33" s="25"/>
      <c r="B33" s="26"/>
      <c r="C33" s="27"/>
      <c r="D33" s="26"/>
    </row>
    <row r="34" customFormat="false" ht="16.5" hidden="false" customHeight="false" outlineLevel="0" collapsed="false">
      <c r="A34" s="22"/>
      <c r="B34" s="23"/>
      <c r="C34" s="24"/>
      <c r="D34" s="23"/>
    </row>
    <row r="35" customFormat="false" ht="16.5" hidden="false" customHeight="false" outlineLevel="0" collapsed="false">
      <c r="A35" s="25"/>
      <c r="B35" s="26"/>
      <c r="C35" s="27"/>
      <c r="D35" s="26"/>
    </row>
    <row r="36" customFormat="false" ht="16.5" hidden="false" customHeight="false" outlineLevel="0" collapsed="false">
      <c r="A36" s="22"/>
      <c r="B36" s="23"/>
      <c r="C36" s="24"/>
      <c r="D36" s="23"/>
    </row>
    <row r="37" customFormat="false" ht="16.5" hidden="false" customHeight="false" outlineLevel="0" collapsed="false">
      <c r="A37" s="25"/>
      <c r="B37" s="26"/>
      <c r="C37" s="27"/>
      <c r="D37" s="26"/>
    </row>
    <row r="38" customFormat="false" ht="16.5" hidden="false" customHeight="false" outlineLevel="0" collapsed="false">
      <c r="A38" s="22"/>
      <c r="B38" s="23"/>
      <c r="C38" s="24"/>
      <c r="D38" s="23"/>
    </row>
    <row r="39" customFormat="false" ht="16.5" hidden="false" customHeight="false" outlineLevel="0" collapsed="false">
      <c r="A39" s="25"/>
      <c r="B39" s="26"/>
      <c r="C39" s="27"/>
      <c r="D39" s="26"/>
    </row>
    <row r="40" customFormat="false" ht="16.5" hidden="false" customHeight="false" outlineLevel="0" collapsed="false">
      <c r="A40" s="22"/>
      <c r="B40" s="23"/>
      <c r="C40" s="24"/>
      <c r="D40" s="23"/>
    </row>
    <row r="41" customFormat="false" ht="16.5" hidden="false" customHeight="false" outlineLevel="0" collapsed="false">
      <c r="A41" s="25"/>
      <c r="B41" s="26"/>
      <c r="C41" s="27"/>
      <c r="D41" s="26"/>
    </row>
    <row r="42" customFormat="false" ht="16.5" hidden="false" customHeight="false" outlineLevel="0" collapsed="false">
      <c r="A42" s="22"/>
      <c r="B42" s="23"/>
      <c r="C42" s="24"/>
      <c r="D42" s="23"/>
    </row>
    <row r="43" customFormat="false" ht="16.5" hidden="false" customHeight="false" outlineLevel="0" collapsed="false">
      <c r="A43" s="25"/>
      <c r="B43" s="26"/>
      <c r="C43" s="27"/>
      <c r="D43" s="26"/>
    </row>
    <row r="44" customFormat="false" ht="16.5" hidden="false" customHeight="false" outlineLevel="0" collapsed="false">
      <c r="A44" s="22"/>
      <c r="B44" s="23"/>
      <c r="C44" s="24"/>
      <c r="D44" s="23"/>
    </row>
    <row r="45" customFormat="false" ht="16.5" hidden="false" customHeight="false" outlineLevel="0" collapsed="false">
      <c r="A45" s="25"/>
      <c r="B45" s="26"/>
      <c r="C45" s="27"/>
      <c r="D45" s="26"/>
    </row>
    <row r="46" customFormat="false" ht="16.5" hidden="false" customHeight="false" outlineLevel="0" collapsed="false">
      <c r="A46" s="22"/>
      <c r="B46" s="23"/>
      <c r="C46" s="24"/>
      <c r="D46" s="23"/>
    </row>
    <row r="47" customFormat="false" ht="16.5" hidden="false" customHeight="false" outlineLevel="0" collapsed="false">
      <c r="A47" s="25"/>
      <c r="B47" s="26"/>
      <c r="C47" s="27"/>
      <c r="D47" s="26"/>
    </row>
    <row r="48" customFormat="false" ht="16.5" hidden="false" customHeight="false" outlineLevel="0" collapsed="false">
      <c r="A48" s="22"/>
      <c r="B48" s="23"/>
      <c r="C48" s="24"/>
      <c r="D48" s="23"/>
    </row>
    <row r="49" customFormat="false" ht="16.5" hidden="false" customHeight="false" outlineLevel="0" collapsed="false">
      <c r="A49" s="25"/>
      <c r="B49" s="26"/>
      <c r="C49" s="27"/>
      <c r="D49" s="26"/>
    </row>
    <row r="50" customFormat="false" ht="16.5" hidden="false" customHeight="false" outlineLevel="0" collapsed="false">
      <c r="A50" s="22"/>
      <c r="B50" s="23"/>
      <c r="C50" s="24"/>
      <c r="D50" s="23"/>
    </row>
    <row r="51" customFormat="false" ht="16.5" hidden="false" customHeight="false" outlineLevel="0" collapsed="false">
      <c r="A51" s="25"/>
      <c r="B51" s="26"/>
      <c r="C51" s="27"/>
      <c r="D51" s="26"/>
    </row>
    <row r="52" customFormat="false" ht="16.5" hidden="false" customHeight="false" outlineLevel="0" collapsed="false">
      <c r="A52" s="22"/>
      <c r="B52" s="23"/>
      <c r="C52" s="24"/>
      <c r="D52" s="23"/>
    </row>
    <row r="53" customFormat="false" ht="16.5" hidden="false" customHeight="false" outlineLevel="0" collapsed="false">
      <c r="A53" s="25"/>
      <c r="B53" s="26"/>
      <c r="C53" s="27"/>
      <c r="D53" s="26"/>
    </row>
    <row r="54" customFormat="false" ht="16.5" hidden="false" customHeight="false" outlineLevel="0" collapsed="false">
      <c r="A54" s="22"/>
      <c r="B54" s="23"/>
      <c r="C54" s="24"/>
      <c r="D54" s="23"/>
    </row>
    <row r="55" customFormat="false" ht="16.5" hidden="false" customHeight="false" outlineLevel="0" collapsed="false">
      <c r="A55" s="25"/>
      <c r="B55" s="26"/>
      <c r="C55" s="27"/>
      <c r="D55" s="26"/>
    </row>
    <row r="56" customFormat="false" ht="16.5" hidden="false" customHeight="false" outlineLevel="0" collapsed="false">
      <c r="A56" s="22"/>
      <c r="B56" s="23"/>
      <c r="C56" s="24"/>
      <c r="D56" s="23"/>
    </row>
    <row r="57" customFormat="false" ht="16.5" hidden="false" customHeight="false" outlineLevel="0" collapsed="false">
      <c r="A57" s="25"/>
      <c r="B57" s="26"/>
      <c r="C57" s="27"/>
      <c r="D57" s="26"/>
    </row>
    <row r="58" customFormat="false" ht="16.5" hidden="false" customHeight="false" outlineLevel="0" collapsed="false">
      <c r="A58" s="22"/>
      <c r="B58" s="23"/>
      <c r="C58" s="24"/>
      <c r="D58" s="23"/>
    </row>
    <row r="59" customFormat="false" ht="16.5" hidden="false" customHeight="false" outlineLevel="0" collapsed="false">
      <c r="A59" s="25"/>
      <c r="B59" s="26"/>
      <c r="C59" s="27"/>
      <c r="D59" s="26"/>
    </row>
    <row r="60" customFormat="false" ht="16.5" hidden="false" customHeight="false" outlineLevel="0" collapsed="false">
      <c r="A60" s="22"/>
      <c r="B60" s="23"/>
      <c r="C60" s="24"/>
      <c r="D60" s="23"/>
    </row>
    <row r="61" customFormat="false" ht="16.5" hidden="false" customHeight="false" outlineLevel="0" collapsed="false">
      <c r="A61" s="25"/>
      <c r="B61" s="26"/>
      <c r="C61" s="27"/>
      <c r="D61" s="26"/>
    </row>
    <row r="62" customFormat="false" ht="16.5" hidden="false" customHeight="false" outlineLevel="0" collapsed="false">
      <c r="A62" s="22"/>
      <c r="B62" s="23"/>
      <c r="C62" s="24"/>
      <c r="D62" s="23"/>
    </row>
    <row r="63" customFormat="false" ht="16.5" hidden="false" customHeight="false" outlineLevel="0" collapsed="false">
      <c r="A63" s="25"/>
      <c r="B63" s="26"/>
      <c r="C63" s="27"/>
      <c r="D63" s="26"/>
    </row>
    <row r="64" customFormat="false" ht="16.5" hidden="false" customHeight="false" outlineLevel="0" collapsed="false">
      <c r="A64" s="22"/>
      <c r="B64" s="23"/>
      <c r="C64" s="24"/>
      <c r="D64" s="23"/>
    </row>
    <row r="65" customFormat="false" ht="16.5" hidden="false" customHeight="false" outlineLevel="0" collapsed="false">
      <c r="A65" s="25"/>
      <c r="B65" s="26"/>
      <c r="C65" s="27"/>
      <c r="D65" s="26"/>
    </row>
    <row r="66" customFormat="false" ht="16.5" hidden="false" customHeight="false" outlineLevel="0" collapsed="false">
      <c r="A66" s="22"/>
      <c r="B66" s="23"/>
      <c r="C66" s="24"/>
      <c r="D66" s="23"/>
    </row>
    <row r="67" customFormat="false" ht="16.5" hidden="false" customHeight="false" outlineLevel="0" collapsed="false">
      <c r="A67" s="25"/>
      <c r="B67" s="26"/>
      <c r="C67" s="27"/>
      <c r="D67" s="26"/>
    </row>
    <row r="68" customFormat="false" ht="16.5" hidden="false" customHeight="false" outlineLevel="0" collapsed="false">
      <c r="A68" s="22"/>
      <c r="B68" s="23"/>
      <c r="C68" s="24"/>
      <c r="D68" s="23"/>
    </row>
    <row r="69" customFormat="false" ht="16.5" hidden="false" customHeight="false" outlineLevel="0" collapsed="false">
      <c r="A69" s="25"/>
      <c r="B69" s="26"/>
      <c r="C69" s="27"/>
      <c r="D69" s="26"/>
    </row>
    <row r="70" customFormat="false" ht="16.5" hidden="false" customHeight="false" outlineLevel="0" collapsed="false">
      <c r="A70" s="22"/>
      <c r="B70" s="23"/>
      <c r="C70" s="24"/>
      <c r="D70" s="23"/>
    </row>
    <row r="71" customFormat="false" ht="16.5" hidden="false" customHeight="false" outlineLevel="0" collapsed="false">
      <c r="A71" s="25"/>
      <c r="B71" s="26"/>
      <c r="C71" s="27"/>
      <c r="D71" s="26"/>
    </row>
    <row r="72" customFormat="false" ht="16.5" hidden="false" customHeight="false" outlineLevel="0" collapsed="false">
      <c r="A72" s="22"/>
      <c r="B72" s="23"/>
      <c r="C72" s="24"/>
      <c r="D72" s="23"/>
    </row>
    <row r="73" customFormat="false" ht="16.5" hidden="false" customHeight="false" outlineLevel="0" collapsed="false">
      <c r="A73" s="25"/>
      <c r="B73" s="26"/>
      <c r="C73" s="27"/>
      <c r="D73" s="26"/>
    </row>
    <row r="74" customFormat="false" ht="16.5" hidden="false" customHeight="false" outlineLevel="0" collapsed="false">
      <c r="A74" s="22"/>
      <c r="B74" s="23"/>
      <c r="C74" s="24"/>
      <c r="D74" s="23"/>
    </row>
    <row r="75" customFormat="false" ht="16.5" hidden="false" customHeight="false" outlineLevel="0" collapsed="false">
      <c r="A75" s="25"/>
      <c r="B75" s="26"/>
      <c r="C75" s="27"/>
      <c r="D75" s="26"/>
    </row>
    <row r="76" customFormat="false" ht="16.5" hidden="false" customHeight="false" outlineLevel="0" collapsed="false">
      <c r="A76" s="22"/>
      <c r="B76" s="23"/>
      <c r="C76" s="24"/>
      <c r="D76" s="23"/>
    </row>
    <row r="77" customFormat="false" ht="16.5" hidden="false" customHeight="false" outlineLevel="0" collapsed="false">
      <c r="A77" s="25"/>
      <c r="B77" s="26"/>
      <c r="C77" s="27"/>
      <c r="D77" s="26"/>
    </row>
    <row r="78" customFormat="false" ht="16.5" hidden="false" customHeight="false" outlineLevel="0" collapsed="false">
      <c r="A78" s="22"/>
      <c r="B78" s="23"/>
      <c r="C78" s="24"/>
      <c r="D78" s="23"/>
    </row>
    <row r="79" customFormat="false" ht="16.5" hidden="false" customHeight="false" outlineLevel="0" collapsed="false">
      <c r="A79" s="25"/>
      <c r="B79" s="26"/>
      <c r="C79" s="27"/>
      <c r="D79" s="26"/>
    </row>
    <row r="80" customFormat="false" ht="16.5" hidden="false" customHeight="false" outlineLevel="0" collapsed="false">
      <c r="A80" s="22"/>
      <c r="B80" s="23"/>
      <c r="C80" s="24"/>
      <c r="D80" s="23"/>
    </row>
    <row r="81" customFormat="false" ht="16.5" hidden="false" customHeight="false" outlineLevel="0" collapsed="false">
      <c r="A81" s="25"/>
      <c r="B81" s="26"/>
      <c r="C81" s="27"/>
      <c r="D81" s="26"/>
    </row>
    <row r="82" customFormat="false" ht="16.5" hidden="false" customHeight="false" outlineLevel="0" collapsed="false">
      <c r="A82" s="22"/>
      <c r="B82" s="23"/>
      <c r="C82" s="24"/>
      <c r="D82" s="23"/>
    </row>
    <row r="83" customFormat="false" ht="16.5" hidden="false" customHeight="false" outlineLevel="0" collapsed="false">
      <c r="A83" s="25"/>
      <c r="B83" s="26"/>
      <c r="C83" s="27"/>
      <c r="D83" s="26"/>
    </row>
    <row r="84" customFormat="false" ht="16.5" hidden="false" customHeight="false" outlineLevel="0" collapsed="false">
      <c r="A84" s="22"/>
      <c r="B84" s="23"/>
      <c r="C84" s="24"/>
      <c r="D84" s="23"/>
    </row>
    <row r="85" customFormat="false" ht="16.5" hidden="false" customHeight="false" outlineLevel="0" collapsed="false">
      <c r="A85" s="25"/>
      <c r="B85" s="26"/>
      <c r="C85" s="27"/>
      <c r="D85" s="26"/>
    </row>
    <row r="86" customFormat="false" ht="16.5" hidden="false" customHeight="false" outlineLevel="0" collapsed="false">
      <c r="A86" s="22"/>
      <c r="B86" s="23"/>
      <c r="C86" s="24"/>
      <c r="D86" s="23"/>
    </row>
    <row r="87" customFormat="false" ht="16.5" hidden="false" customHeight="false" outlineLevel="0" collapsed="false">
      <c r="A87" s="25"/>
      <c r="B87" s="26"/>
      <c r="C87" s="27"/>
      <c r="D87" s="26"/>
    </row>
    <row r="88" customFormat="false" ht="16.5" hidden="false" customHeight="false" outlineLevel="0" collapsed="false">
      <c r="A88" s="22"/>
      <c r="B88" s="23"/>
      <c r="C88" s="24"/>
      <c r="D88" s="23"/>
    </row>
    <row r="89" customFormat="false" ht="16.5" hidden="false" customHeight="false" outlineLevel="0" collapsed="false">
      <c r="A89" s="25"/>
      <c r="B89" s="26"/>
      <c r="C89" s="27"/>
      <c r="D89" s="26"/>
    </row>
    <row r="90" customFormat="false" ht="16.5" hidden="false" customHeight="false" outlineLevel="0" collapsed="false">
      <c r="A90" s="22"/>
      <c r="B90" s="23"/>
      <c r="C90" s="24"/>
      <c r="D90" s="23"/>
    </row>
    <row r="91" customFormat="false" ht="16.5" hidden="false" customHeight="false" outlineLevel="0" collapsed="false">
      <c r="A91" s="25"/>
      <c r="B91" s="26"/>
      <c r="C91" s="27"/>
      <c r="D91" s="26"/>
    </row>
    <row r="92" customFormat="false" ht="16.5" hidden="false" customHeight="false" outlineLevel="0" collapsed="false">
      <c r="A92" s="22"/>
      <c r="B92" s="23"/>
      <c r="C92" s="24"/>
      <c r="D92" s="23"/>
    </row>
    <row r="93" customFormat="false" ht="16.5" hidden="false" customHeight="false" outlineLevel="0" collapsed="false">
      <c r="A93" s="25"/>
      <c r="B93" s="26"/>
      <c r="C93" s="27"/>
      <c r="D93" s="26"/>
    </row>
    <row r="94" customFormat="false" ht="16.5" hidden="false" customHeight="false" outlineLevel="0" collapsed="false">
      <c r="A94" s="22"/>
      <c r="B94" s="23"/>
      <c r="C94" s="24"/>
      <c r="D94" s="23"/>
    </row>
    <row r="95" customFormat="false" ht="16.5" hidden="false" customHeight="false" outlineLevel="0" collapsed="false">
      <c r="A95" s="25"/>
      <c r="B95" s="26"/>
      <c r="C95" s="27"/>
      <c r="D95" s="26"/>
    </row>
    <row r="96" customFormat="false" ht="16.5" hidden="false" customHeight="false" outlineLevel="0" collapsed="false">
      <c r="A96" s="22"/>
      <c r="B96" s="23"/>
      <c r="C96" s="24"/>
      <c r="D96" s="23"/>
    </row>
    <row r="97" customFormat="false" ht="16.5" hidden="false" customHeight="false" outlineLevel="0" collapsed="false">
      <c r="A97" s="25"/>
      <c r="B97" s="26"/>
      <c r="C97" s="27"/>
      <c r="D97" s="26"/>
    </row>
    <row r="98" customFormat="false" ht="16.5" hidden="false" customHeight="false" outlineLevel="0" collapsed="false">
      <c r="A98" s="22"/>
      <c r="B98" s="23"/>
      <c r="C98" s="24"/>
      <c r="D98" s="23"/>
    </row>
    <row r="99" customFormat="false" ht="16.5" hidden="false" customHeight="false" outlineLevel="0" collapsed="false">
      <c r="A99" s="25"/>
      <c r="B99" s="26"/>
      <c r="C99" s="27"/>
      <c r="D99" s="26"/>
    </row>
    <row r="100" customFormat="false" ht="16.5" hidden="false" customHeight="false" outlineLevel="0" collapsed="false">
      <c r="A100" s="22"/>
      <c r="B100" s="23"/>
      <c r="C100" s="24"/>
      <c r="D100" s="23"/>
    </row>
    <row r="101" customFormat="false" ht="16.5" hidden="false" customHeight="false" outlineLevel="0" collapsed="false">
      <c r="A101" s="25"/>
      <c r="B101" s="26"/>
      <c r="C101" s="27"/>
      <c r="D101" s="26"/>
    </row>
    <row r="102" customFormat="false" ht="16.5" hidden="false" customHeight="false" outlineLevel="0" collapsed="false">
      <c r="A102" s="22"/>
      <c r="B102" s="23"/>
      <c r="C102" s="24"/>
      <c r="D102" s="23"/>
    </row>
    <row r="103" customFormat="false" ht="16.5" hidden="false" customHeight="false" outlineLevel="0" collapsed="false">
      <c r="A103" s="25"/>
      <c r="B103" s="26"/>
      <c r="C103" s="27"/>
      <c r="D103" s="26"/>
    </row>
    <row r="104" customFormat="false" ht="16.5" hidden="false" customHeight="false" outlineLevel="0" collapsed="false">
      <c r="A104" s="22"/>
      <c r="B104" s="23"/>
      <c r="C104" s="24"/>
      <c r="D104" s="23"/>
    </row>
    <row r="105" customFormat="false" ht="16.5" hidden="false" customHeight="false" outlineLevel="0" collapsed="false">
      <c r="A105" s="25"/>
      <c r="B105" s="26"/>
      <c r="C105" s="27"/>
      <c r="D105" s="26"/>
    </row>
    <row r="106" customFormat="false" ht="16.5" hidden="false" customHeight="false" outlineLevel="0" collapsed="false">
      <c r="A106" s="22"/>
      <c r="B106" s="23"/>
      <c r="C106" s="24"/>
      <c r="D106" s="23"/>
    </row>
    <row r="107" customFormat="false" ht="16.5" hidden="false" customHeight="false" outlineLevel="0" collapsed="false">
      <c r="A107" s="25"/>
      <c r="B107" s="26"/>
      <c r="C107" s="27"/>
      <c r="D107" s="26"/>
    </row>
    <row r="108" customFormat="false" ht="16.5" hidden="false" customHeight="false" outlineLevel="0" collapsed="false">
      <c r="A108" s="22"/>
      <c r="B108" s="23"/>
      <c r="C108" s="24"/>
      <c r="D108" s="23"/>
    </row>
    <row r="109" customFormat="false" ht="16.5" hidden="false" customHeight="false" outlineLevel="0" collapsed="false">
      <c r="A109" s="25"/>
      <c r="B109" s="26"/>
      <c r="C109" s="27"/>
      <c r="D109" s="26"/>
    </row>
    <row r="110" customFormat="false" ht="16.5" hidden="false" customHeight="false" outlineLevel="0" collapsed="false">
      <c r="A110" s="22"/>
      <c r="B110" s="23"/>
      <c r="C110" s="24"/>
      <c r="D110" s="23"/>
    </row>
    <row r="111" customFormat="false" ht="16.5" hidden="false" customHeight="false" outlineLevel="0" collapsed="false">
      <c r="A111" s="25"/>
      <c r="B111" s="26"/>
      <c r="C111" s="27"/>
      <c r="D111" s="26"/>
    </row>
    <row r="112" customFormat="false" ht="16.5" hidden="false" customHeight="false" outlineLevel="0" collapsed="false">
      <c r="A112" s="22"/>
      <c r="B112" s="23"/>
      <c r="C112" s="24"/>
      <c r="D112" s="23"/>
    </row>
    <row r="113" customFormat="false" ht="16.5" hidden="false" customHeight="false" outlineLevel="0" collapsed="false">
      <c r="A113" s="25"/>
      <c r="B113" s="26"/>
      <c r="C113" s="27"/>
      <c r="D113" s="26"/>
    </row>
    <row r="114" customFormat="false" ht="16.5" hidden="false" customHeight="false" outlineLevel="0" collapsed="false">
      <c r="A114" s="22"/>
      <c r="B114" s="23"/>
      <c r="C114" s="24"/>
      <c r="D114" s="23"/>
    </row>
    <row r="115" customFormat="false" ht="16.5" hidden="false" customHeight="false" outlineLevel="0" collapsed="false">
      <c r="A115" s="25"/>
      <c r="B115" s="26"/>
      <c r="C115" s="27"/>
      <c r="D115" s="26"/>
    </row>
    <row r="116" customFormat="false" ht="16.5" hidden="false" customHeight="false" outlineLevel="0" collapsed="false">
      <c r="A116" s="22"/>
      <c r="B116" s="23"/>
      <c r="C116" s="24"/>
      <c r="D116" s="23"/>
    </row>
    <row r="117" customFormat="false" ht="16.5" hidden="false" customHeight="false" outlineLevel="0" collapsed="false">
      <c r="A117" s="25"/>
      <c r="B117" s="26"/>
      <c r="C117" s="27"/>
      <c r="D117" s="26"/>
    </row>
    <row r="118" customFormat="false" ht="16.5" hidden="false" customHeight="false" outlineLevel="0" collapsed="false">
      <c r="A118" s="22"/>
      <c r="B118" s="23"/>
      <c r="C118" s="24"/>
      <c r="D118" s="23"/>
    </row>
    <row r="119" customFormat="false" ht="16.5" hidden="false" customHeight="false" outlineLevel="0" collapsed="false">
      <c r="A119" s="25"/>
      <c r="B119" s="26"/>
      <c r="C119" s="27"/>
      <c r="D119" s="26"/>
    </row>
    <row r="120" customFormat="false" ht="16.5" hidden="false" customHeight="false" outlineLevel="0" collapsed="false">
      <c r="A120" s="22"/>
      <c r="B120" s="23"/>
      <c r="C120" s="24"/>
      <c r="D120" s="23"/>
    </row>
    <row r="121" customFormat="false" ht="16.5" hidden="false" customHeight="false" outlineLevel="0" collapsed="false">
      <c r="A121" s="25"/>
      <c r="B121" s="26"/>
      <c r="C121" s="27"/>
      <c r="D121" s="26"/>
    </row>
    <row r="122" customFormat="false" ht="16.5" hidden="false" customHeight="false" outlineLevel="0" collapsed="false">
      <c r="A122" s="22"/>
      <c r="B122" s="23"/>
      <c r="C122" s="24"/>
      <c r="D122" s="23"/>
    </row>
    <row r="123" customFormat="false" ht="16.5" hidden="false" customHeight="false" outlineLevel="0" collapsed="false">
      <c r="A123" s="25"/>
      <c r="B123" s="26"/>
      <c r="C123" s="27"/>
      <c r="D123" s="26"/>
    </row>
    <row r="124" customFormat="false" ht="16.5" hidden="false" customHeight="false" outlineLevel="0" collapsed="false">
      <c r="A124" s="22"/>
      <c r="B124" s="23"/>
      <c r="C124" s="24"/>
      <c r="D124" s="23"/>
    </row>
    <row r="125" customFormat="false" ht="16.5" hidden="false" customHeight="false" outlineLevel="0" collapsed="false">
      <c r="A125" s="25"/>
      <c r="B125" s="26"/>
      <c r="C125" s="27"/>
      <c r="D125" s="26"/>
    </row>
    <row r="126" customFormat="false" ht="16.5" hidden="false" customHeight="false" outlineLevel="0" collapsed="false">
      <c r="A126" s="22"/>
      <c r="B126" s="23"/>
      <c r="C126" s="24"/>
      <c r="D126" s="23"/>
    </row>
    <row r="127" customFormat="false" ht="16.5" hidden="false" customHeight="false" outlineLevel="0" collapsed="false">
      <c r="A127" s="25"/>
      <c r="B127" s="26"/>
      <c r="C127" s="27"/>
      <c r="D127" s="26"/>
    </row>
    <row r="128" customFormat="false" ht="16.5" hidden="false" customHeight="false" outlineLevel="0" collapsed="false">
      <c r="A128" s="22"/>
      <c r="B128" s="23"/>
      <c r="C128" s="24"/>
      <c r="D128" s="23"/>
    </row>
    <row r="129" customFormat="false" ht="16.5" hidden="false" customHeight="false" outlineLevel="0" collapsed="false">
      <c r="A129" s="25"/>
      <c r="B129" s="26"/>
      <c r="C129" s="27"/>
      <c r="D129" s="26"/>
    </row>
    <row r="130" customFormat="false" ht="16.5" hidden="false" customHeight="false" outlineLevel="0" collapsed="false">
      <c r="A130" s="22"/>
      <c r="B130" s="23"/>
      <c r="C130" s="24"/>
      <c r="D130" s="23"/>
    </row>
    <row r="131" customFormat="false" ht="16.5" hidden="false" customHeight="false" outlineLevel="0" collapsed="false">
      <c r="A131" s="25"/>
      <c r="B131" s="26"/>
      <c r="C131" s="27"/>
      <c r="D131" s="26"/>
    </row>
    <row r="132" customFormat="false" ht="16.5" hidden="false" customHeight="false" outlineLevel="0" collapsed="false">
      <c r="A132" s="22"/>
      <c r="B132" s="23"/>
      <c r="C132" s="24"/>
      <c r="D132" s="23"/>
    </row>
    <row r="133" customFormat="false" ht="16.5" hidden="false" customHeight="false" outlineLevel="0" collapsed="false">
      <c r="A133" s="25"/>
      <c r="B133" s="26"/>
      <c r="C133" s="27"/>
      <c r="D133" s="26"/>
    </row>
    <row r="134" customFormat="false" ht="16.5" hidden="false" customHeight="false" outlineLevel="0" collapsed="false">
      <c r="A134" s="22"/>
      <c r="B134" s="23"/>
      <c r="C134" s="24"/>
      <c r="D134" s="23"/>
    </row>
    <row r="135" customFormat="false" ht="16.5" hidden="false" customHeight="false" outlineLevel="0" collapsed="false">
      <c r="A135" s="25"/>
      <c r="B135" s="26"/>
      <c r="C135" s="27"/>
      <c r="D135" s="26"/>
    </row>
    <row r="136" customFormat="false" ht="16.5" hidden="false" customHeight="false" outlineLevel="0" collapsed="false">
      <c r="A136" s="22"/>
      <c r="B136" s="23"/>
      <c r="C136" s="24"/>
      <c r="D136" s="23"/>
    </row>
    <row r="137" customFormat="false" ht="16.5" hidden="false" customHeight="false" outlineLevel="0" collapsed="false">
      <c r="A137" s="25"/>
      <c r="B137" s="26"/>
      <c r="C137" s="27"/>
      <c r="D137" s="26"/>
    </row>
    <row r="138" customFormat="false" ht="16.5" hidden="false" customHeight="false" outlineLevel="0" collapsed="false">
      <c r="A138" s="22"/>
      <c r="B138" s="23"/>
      <c r="C138" s="24"/>
      <c r="D138" s="23"/>
    </row>
    <row r="139" customFormat="false" ht="16.5" hidden="false" customHeight="false" outlineLevel="0" collapsed="false">
      <c r="A139" s="25"/>
      <c r="B139" s="26"/>
      <c r="C139" s="27"/>
      <c r="D139" s="26"/>
    </row>
    <row r="140" customFormat="false" ht="16.5" hidden="false" customHeight="false" outlineLevel="0" collapsed="false">
      <c r="A140" s="22"/>
      <c r="B140" s="23"/>
      <c r="C140" s="24"/>
      <c r="D140" s="23"/>
    </row>
    <row r="141" customFormat="false" ht="16.5" hidden="false" customHeight="false" outlineLevel="0" collapsed="false">
      <c r="A141" s="25"/>
      <c r="B141" s="26"/>
      <c r="C141" s="27"/>
      <c r="D141" s="26"/>
    </row>
    <row r="142" customFormat="false" ht="16.5" hidden="false" customHeight="false" outlineLevel="0" collapsed="false">
      <c r="A142" s="22"/>
      <c r="B142" s="23"/>
      <c r="C142" s="24"/>
      <c r="D142" s="23"/>
    </row>
    <row r="143" customFormat="false" ht="16.5" hidden="false" customHeight="false" outlineLevel="0" collapsed="false">
      <c r="A143" s="25"/>
      <c r="B143" s="26"/>
      <c r="C143" s="27"/>
      <c r="D143" s="26"/>
    </row>
    <row r="144" customFormat="false" ht="16.5" hidden="false" customHeight="false" outlineLevel="0" collapsed="false">
      <c r="A144" s="22"/>
      <c r="B144" s="23"/>
      <c r="C144" s="24"/>
      <c r="D144" s="23"/>
    </row>
    <row r="145" customFormat="false" ht="16.5" hidden="false" customHeight="false" outlineLevel="0" collapsed="false">
      <c r="A145" s="25"/>
      <c r="B145" s="26"/>
      <c r="C145" s="27"/>
      <c r="D145" s="26"/>
    </row>
    <row r="146" customFormat="false" ht="16.5" hidden="false" customHeight="false" outlineLevel="0" collapsed="false">
      <c r="A146" s="22"/>
      <c r="B146" s="23"/>
      <c r="C146" s="24"/>
      <c r="D146" s="23"/>
    </row>
    <row r="147" customFormat="false" ht="16.5" hidden="false" customHeight="false" outlineLevel="0" collapsed="false">
      <c r="A147" s="25"/>
      <c r="B147" s="26"/>
      <c r="C147" s="27"/>
      <c r="D147" s="26"/>
    </row>
    <row r="148" customFormat="false" ht="16.5" hidden="false" customHeight="false" outlineLevel="0" collapsed="false">
      <c r="A148" s="22"/>
      <c r="B148" s="23"/>
      <c r="C148" s="24"/>
      <c r="D148" s="23"/>
    </row>
    <row r="149" customFormat="false" ht="16.5" hidden="false" customHeight="false" outlineLevel="0" collapsed="false">
      <c r="A149" s="25"/>
      <c r="B149" s="26"/>
      <c r="C149" s="27"/>
      <c r="D149" s="26"/>
    </row>
    <row r="150" customFormat="false" ht="16.5" hidden="false" customHeight="false" outlineLevel="0" collapsed="false">
      <c r="A150" s="22"/>
      <c r="B150" s="23"/>
      <c r="C150" s="24"/>
      <c r="D150" s="23"/>
    </row>
    <row r="151" customFormat="false" ht="16.5" hidden="false" customHeight="false" outlineLevel="0" collapsed="false">
      <c r="A151" s="25"/>
      <c r="B151" s="26"/>
      <c r="C151" s="27"/>
      <c r="D151" s="26"/>
    </row>
    <row r="152" customFormat="false" ht="16.5" hidden="false" customHeight="false" outlineLevel="0" collapsed="false">
      <c r="A152" s="22"/>
      <c r="B152" s="23"/>
      <c r="C152" s="24"/>
      <c r="D152" s="23"/>
    </row>
    <row r="153" customFormat="false" ht="16.5" hidden="false" customHeight="false" outlineLevel="0" collapsed="false">
      <c r="A153" s="25"/>
      <c r="B153" s="26"/>
      <c r="C153" s="27"/>
      <c r="D153" s="26"/>
    </row>
    <row r="154" customFormat="false" ht="16.5" hidden="false" customHeight="false" outlineLevel="0" collapsed="false">
      <c r="A154" s="22"/>
      <c r="B154" s="23"/>
      <c r="C154" s="24"/>
      <c r="D154" s="23"/>
    </row>
    <row r="155" customFormat="false" ht="16.5" hidden="false" customHeight="false" outlineLevel="0" collapsed="false">
      <c r="A155" s="25"/>
      <c r="B155" s="26"/>
      <c r="C155" s="27"/>
      <c r="D155" s="26"/>
    </row>
    <row r="156" customFormat="false" ht="16.5" hidden="false" customHeight="false" outlineLevel="0" collapsed="false">
      <c r="A156" s="22"/>
      <c r="B156" s="23"/>
      <c r="C156" s="24"/>
      <c r="D156" s="23"/>
    </row>
    <row r="157" customFormat="false" ht="16.5" hidden="false" customHeight="false" outlineLevel="0" collapsed="false">
      <c r="A157" s="25"/>
      <c r="B157" s="26"/>
      <c r="C157" s="27"/>
      <c r="D157" s="26"/>
    </row>
    <row r="158" customFormat="false" ht="16.5" hidden="false" customHeight="false" outlineLevel="0" collapsed="false">
      <c r="A158" s="22"/>
      <c r="B158" s="23"/>
      <c r="C158" s="24"/>
      <c r="D158" s="23"/>
    </row>
    <row r="159" customFormat="false" ht="16.5" hidden="false" customHeight="false" outlineLevel="0" collapsed="false">
      <c r="A159" s="25"/>
      <c r="B159" s="26"/>
      <c r="C159" s="27"/>
      <c r="D159" s="26"/>
    </row>
    <row r="160" customFormat="false" ht="16.5" hidden="false" customHeight="false" outlineLevel="0" collapsed="false">
      <c r="A160" s="22"/>
      <c r="B160" s="23"/>
      <c r="C160" s="24"/>
      <c r="D160" s="23"/>
    </row>
    <row r="161" customFormat="false" ht="16.5" hidden="false" customHeight="false" outlineLevel="0" collapsed="false">
      <c r="A161" s="25"/>
      <c r="B161" s="26"/>
      <c r="C161" s="27"/>
      <c r="D161" s="26"/>
    </row>
    <row r="162" customFormat="false" ht="16.5" hidden="false" customHeight="false" outlineLevel="0" collapsed="false">
      <c r="A162" s="22"/>
      <c r="B162" s="23"/>
      <c r="C162" s="24"/>
      <c r="D162" s="23"/>
    </row>
    <row r="163" customFormat="false" ht="16.5" hidden="false" customHeight="false" outlineLevel="0" collapsed="false">
      <c r="A163" s="25"/>
      <c r="B163" s="26"/>
      <c r="C163" s="27"/>
      <c r="D163" s="26"/>
    </row>
    <row r="164" customFormat="false" ht="16.5" hidden="false" customHeight="false" outlineLevel="0" collapsed="false">
      <c r="A164" s="22"/>
      <c r="B164" s="23"/>
      <c r="C164" s="24"/>
      <c r="D164" s="23"/>
    </row>
    <row r="165" customFormat="false" ht="16.5" hidden="false" customHeight="false" outlineLevel="0" collapsed="false">
      <c r="A165" s="25"/>
      <c r="B165" s="26"/>
      <c r="C165" s="27"/>
      <c r="D165" s="26"/>
    </row>
    <row r="166" customFormat="false" ht="16.5" hidden="false" customHeight="false" outlineLevel="0" collapsed="false">
      <c r="A166" s="22"/>
      <c r="B166" s="23"/>
      <c r="C166" s="24"/>
      <c r="D166" s="23"/>
    </row>
    <row r="167" customFormat="false" ht="16.5" hidden="false" customHeight="false" outlineLevel="0" collapsed="false">
      <c r="A167" s="25"/>
      <c r="B167" s="26"/>
      <c r="C167" s="27"/>
      <c r="D167" s="26"/>
    </row>
    <row r="168" customFormat="false" ht="16.5" hidden="false" customHeight="false" outlineLevel="0" collapsed="false">
      <c r="A168" s="22"/>
      <c r="B168" s="23"/>
      <c r="C168" s="24"/>
      <c r="D168" s="23"/>
    </row>
    <row r="169" customFormat="false" ht="16.5" hidden="false" customHeight="false" outlineLevel="0" collapsed="false">
      <c r="A169" s="25"/>
      <c r="B169" s="26"/>
      <c r="C169" s="27"/>
      <c r="D169" s="26"/>
    </row>
    <row r="170" customFormat="false" ht="16.5" hidden="false" customHeight="false" outlineLevel="0" collapsed="false">
      <c r="A170" s="22"/>
      <c r="B170" s="23"/>
      <c r="C170" s="24"/>
      <c r="D170" s="23"/>
    </row>
    <row r="171" customFormat="false" ht="16.5" hidden="false" customHeight="false" outlineLevel="0" collapsed="false">
      <c r="A171" s="25"/>
      <c r="B171" s="26"/>
      <c r="C171" s="27"/>
      <c r="D171" s="26"/>
    </row>
    <row r="172" customFormat="false" ht="16.5" hidden="false" customHeight="false" outlineLevel="0" collapsed="false">
      <c r="A172" s="22"/>
      <c r="B172" s="23"/>
      <c r="C172" s="24"/>
      <c r="D172" s="23"/>
    </row>
    <row r="173" customFormat="false" ht="16.5" hidden="false" customHeight="false" outlineLevel="0" collapsed="false">
      <c r="A173" s="25"/>
      <c r="B173" s="26"/>
      <c r="C173" s="27"/>
      <c r="D173" s="26"/>
    </row>
    <row r="174" customFormat="false" ht="16.5" hidden="false" customHeight="false" outlineLevel="0" collapsed="false">
      <c r="A174" s="22"/>
      <c r="B174" s="23"/>
      <c r="C174" s="24"/>
      <c r="D174" s="23"/>
    </row>
    <row r="175" customFormat="false" ht="16.5" hidden="false" customHeight="false" outlineLevel="0" collapsed="false">
      <c r="A175" s="25"/>
      <c r="B175" s="26"/>
      <c r="C175" s="27"/>
      <c r="D175" s="26"/>
    </row>
    <row r="176" customFormat="false" ht="16.5" hidden="false" customHeight="false" outlineLevel="0" collapsed="false">
      <c r="A176" s="22"/>
      <c r="B176" s="23"/>
      <c r="C176" s="24"/>
      <c r="D176" s="23"/>
    </row>
    <row r="177" customFormat="false" ht="16.5" hidden="false" customHeight="false" outlineLevel="0" collapsed="false">
      <c r="A177" s="25"/>
      <c r="B177" s="26"/>
      <c r="C177" s="27"/>
      <c r="D177" s="26"/>
    </row>
    <row r="178" customFormat="false" ht="16.5" hidden="false" customHeight="false" outlineLevel="0" collapsed="false">
      <c r="A178" s="22"/>
      <c r="B178" s="23"/>
      <c r="C178" s="24"/>
      <c r="D178" s="23"/>
    </row>
    <row r="179" customFormat="false" ht="16.5" hidden="false" customHeight="false" outlineLevel="0" collapsed="false">
      <c r="A179" s="25"/>
      <c r="B179" s="26"/>
      <c r="C179" s="27"/>
      <c r="D179" s="26"/>
    </row>
    <row r="180" customFormat="false" ht="16.5" hidden="false" customHeight="false" outlineLevel="0" collapsed="false">
      <c r="A180" s="22"/>
      <c r="B180" s="23"/>
      <c r="C180" s="24"/>
      <c r="D180" s="23"/>
    </row>
    <row r="181" customFormat="false" ht="16.5" hidden="false" customHeight="false" outlineLevel="0" collapsed="false">
      <c r="A181" s="25"/>
      <c r="B181" s="26"/>
      <c r="C181" s="27"/>
      <c r="D181" s="26"/>
    </row>
    <row r="182" customFormat="false" ht="16.5" hidden="false" customHeight="false" outlineLevel="0" collapsed="false">
      <c r="A182" s="22"/>
      <c r="B182" s="23"/>
      <c r="C182" s="24"/>
      <c r="D182" s="23"/>
    </row>
    <row r="183" customFormat="false" ht="16.5" hidden="false" customHeight="false" outlineLevel="0" collapsed="false">
      <c r="A183" s="25"/>
      <c r="B183" s="26"/>
      <c r="C183" s="27"/>
      <c r="D183" s="26"/>
    </row>
    <row r="184" customFormat="false" ht="16.5" hidden="false" customHeight="false" outlineLevel="0" collapsed="false">
      <c r="A184" s="22"/>
      <c r="B184" s="23"/>
      <c r="C184" s="24"/>
      <c r="D184" s="23"/>
    </row>
    <row r="185" customFormat="false" ht="16.5" hidden="false" customHeight="false" outlineLevel="0" collapsed="false">
      <c r="A185" s="25"/>
      <c r="B185" s="26"/>
      <c r="C185" s="27"/>
      <c r="D185" s="26"/>
    </row>
    <row r="186" customFormat="false" ht="16.5" hidden="false" customHeight="false" outlineLevel="0" collapsed="false">
      <c r="A186" s="22"/>
      <c r="B186" s="23"/>
      <c r="C186" s="24"/>
      <c r="D186" s="23"/>
    </row>
    <row r="187" customFormat="false" ht="16.5" hidden="false" customHeight="false" outlineLevel="0" collapsed="false">
      <c r="A187" s="25"/>
      <c r="B187" s="26"/>
      <c r="C187" s="27"/>
      <c r="D187" s="26"/>
    </row>
    <row r="188" customFormat="false" ht="16.5" hidden="false" customHeight="false" outlineLevel="0" collapsed="false">
      <c r="A188" s="22"/>
      <c r="B188" s="23"/>
      <c r="C188" s="24"/>
      <c r="D188" s="23"/>
    </row>
    <row r="189" customFormat="false" ht="16.5" hidden="false" customHeight="false" outlineLevel="0" collapsed="false">
      <c r="A189" s="25"/>
      <c r="B189" s="26"/>
      <c r="C189" s="27"/>
      <c r="D189" s="26"/>
    </row>
    <row r="190" customFormat="false" ht="16.5" hidden="false" customHeight="false" outlineLevel="0" collapsed="false">
      <c r="A190" s="22"/>
      <c r="B190" s="23"/>
      <c r="C190" s="24"/>
      <c r="D190" s="23"/>
    </row>
    <row r="191" customFormat="false" ht="16.5" hidden="false" customHeight="false" outlineLevel="0" collapsed="false">
      <c r="A191" s="25"/>
      <c r="B191" s="26"/>
      <c r="C191" s="27"/>
      <c r="D191" s="26"/>
    </row>
    <row r="192" customFormat="false" ht="16.5" hidden="false" customHeight="false" outlineLevel="0" collapsed="false">
      <c r="A192" s="22"/>
      <c r="B192" s="23"/>
      <c r="C192" s="24"/>
      <c r="D192" s="23"/>
    </row>
    <row r="193" customFormat="false" ht="16.5" hidden="false" customHeight="false" outlineLevel="0" collapsed="false">
      <c r="A193" s="25"/>
      <c r="B193" s="26"/>
      <c r="C193" s="27"/>
      <c r="D193" s="26"/>
    </row>
    <row r="194" customFormat="false" ht="16.5" hidden="false" customHeight="false" outlineLevel="0" collapsed="false">
      <c r="A194" s="22"/>
      <c r="B194" s="23"/>
      <c r="C194" s="24"/>
      <c r="D194" s="23"/>
    </row>
    <row r="195" customFormat="false" ht="16.5" hidden="false" customHeight="false" outlineLevel="0" collapsed="false">
      <c r="A195" s="25"/>
      <c r="B195" s="26"/>
      <c r="C195" s="27"/>
      <c r="D195" s="26"/>
    </row>
    <row r="196" customFormat="false" ht="16.5" hidden="false" customHeight="false" outlineLevel="0" collapsed="false">
      <c r="A196" s="22"/>
      <c r="B196" s="23"/>
      <c r="C196" s="24"/>
      <c r="D196" s="23"/>
    </row>
    <row r="197" customFormat="false" ht="16.5" hidden="false" customHeight="false" outlineLevel="0" collapsed="false">
      <c r="A197" s="25"/>
      <c r="B197" s="26"/>
      <c r="C197" s="27"/>
      <c r="D197" s="26"/>
    </row>
    <row r="198" customFormat="false" ht="16.5" hidden="false" customHeight="false" outlineLevel="0" collapsed="false">
      <c r="A198" s="22"/>
      <c r="B198" s="23"/>
      <c r="C198" s="24"/>
      <c r="D198" s="23"/>
    </row>
    <row r="199" customFormat="false" ht="16.5" hidden="false" customHeight="false" outlineLevel="0" collapsed="false">
      <c r="A199" s="25"/>
      <c r="B199" s="26"/>
      <c r="C199" s="27"/>
      <c r="D199" s="26"/>
    </row>
    <row r="200" customFormat="false" ht="16.5" hidden="false" customHeight="false" outlineLevel="0" collapsed="false">
      <c r="A200" s="22"/>
      <c r="B200" s="23"/>
      <c r="C200" s="24"/>
      <c r="D200" s="23"/>
    </row>
    <row r="201" customFormat="false" ht="16.5" hidden="false" customHeight="false" outlineLevel="0" collapsed="false">
      <c r="A201" s="25"/>
      <c r="B201" s="26"/>
      <c r="C201" s="27"/>
      <c r="D201" s="26"/>
    </row>
    <row r="202" customFormat="false" ht="16.5" hidden="false" customHeight="false" outlineLevel="0" collapsed="false">
      <c r="A202" s="22"/>
      <c r="B202" s="23"/>
      <c r="C202" s="24"/>
      <c r="D202" s="23"/>
    </row>
    <row r="203" customFormat="false" ht="16.5" hidden="false" customHeight="false" outlineLevel="0" collapsed="false">
      <c r="A203" s="25"/>
      <c r="B203" s="26"/>
      <c r="C203" s="27"/>
      <c r="D203" s="26"/>
    </row>
    <row r="204" customFormat="false" ht="16.5" hidden="false" customHeight="false" outlineLevel="0" collapsed="false">
      <c r="A204" s="22"/>
      <c r="B204" s="23"/>
      <c r="C204" s="24"/>
      <c r="D204" s="23"/>
    </row>
    <row r="205" customFormat="false" ht="16.5" hidden="false" customHeight="false" outlineLevel="0" collapsed="false">
      <c r="A205" s="25"/>
      <c r="B205" s="26"/>
      <c r="C205" s="27"/>
      <c r="D205" s="26"/>
    </row>
  </sheetData>
  <sheetProtection sheet="true" formatCells="false" formatColumns="false" formatRows="false" insertRows="false" autoFilter="false"/>
  <mergeCells count="2">
    <mergeCell ref="A1:D1"/>
    <mergeCell ref="A2:D2"/>
  </mergeCell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12"/>
    <col collapsed="false" customWidth="true" hidden="false" outlineLevel="0" max="7" min="7" style="0" width="4"/>
    <col collapsed="false" customWidth="true" hidden="false" outlineLevel="0" max="8" min="8" style="0" width="24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10"/>
    <col collapsed="false" customWidth="true" hidden="false" outlineLevel="0" max="13" min="13" style="0" width="4"/>
    <col collapsed="false" customWidth="true" hidden="false" outlineLevel="0" max="14" min="14" style="0" width="6"/>
  </cols>
  <sheetData>
    <row r="1" customFormat="false" ht="25.5" hidden="false" customHeight="true" outlineLevel="0" collapsed="false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3" t="s">
        <v>77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6.5" hidden="false" customHeight="false" outlineLevel="0" collapsed="false">
      <c r="A4" s="2"/>
      <c r="B4" s="8" t="s">
        <v>78</v>
      </c>
      <c r="C4" s="14" t="n">
        <v>2026</v>
      </c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6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18" hidden="false" customHeight="true" outlineLevel="0" collapsed="false">
      <c r="A6" s="2"/>
      <c r="B6" s="28" t="s">
        <v>79</v>
      </c>
      <c r="C6" s="28"/>
      <c r="D6" s="28" t="s">
        <v>80</v>
      </c>
      <c r="E6" s="28"/>
      <c r="F6" s="2"/>
      <c r="G6" s="28" t="s">
        <v>81</v>
      </c>
      <c r="H6" s="28"/>
      <c r="I6" s="2"/>
      <c r="J6" s="28" t="s">
        <v>82</v>
      </c>
      <c r="K6" s="28"/>
      <c r="L6" s="28"/>
      <c r="M6" s="2"/>
    </row>
    <row r="7" customFormat="false" ht="31.5" hidden="false" customHeight="true" outlineLevel="0" collapsed="false">
      <c r="A7" s="2"/>
      <c r="B7" s="29" t="n">
        <f aca="false">SUMIFS(Revenue!$C$6:$C$205,Revenue!$A$6:$A$205,"&gt;="&amp;DATE($C$4,1,1),Revenue!$A$6:$A$205,"&lt;"&amp;DATE($C$4+1,1,1))</f>
        <v>22550</v>
      </c>
      <c r="C7" s="29"/>
      <c r="D7" s="30" t="n">
        <f aca="false">SUMIFS(Expenses!$E$6:$E$405,Expenses!$A$6:$A$405,"&gt;="&amp;DATE($C$4,1,1),Expenses!$A$6:$A$405,"&lt;"&amp;DATE($C$4+1,1,1))</f>
        <v>17369</v>
      </c>
      <c r="E7" s="30"/>
      <c r="F7" s="2"/>
      <c r="G7" s="31" t="n">
        <f aca="false">B7-D7</f>
        <v>5181</v>
      </c>
      <c r="H7" s="31"/>
      <c r="I7" s="2"/>
      <c r="J7" s="32" t="n">
        <f aca="false">'Budget Plan'!$N$24-D7</f>
        <v>105391</v>
      </c>
      <c r="K7" s="32"/>
      <c r="L7" s="32"/>
      <c r="M7" s="2"/>
    </row>
    <row r="8" customFormat="false" ht="16.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16.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customFormat="false" ht="16.5" hidden="false" customHeight="false" outlineLevel="0" collapsed="false">
      <c r="A10" s="2"/>
      <c r="B10" s="6" t="s">
        <v>83</v>
      </c>
      <c r="C10" s="2"/>
      <c r="D10" s="2"/>
      <c r="E10" s="2"/>
      <c r="F10" s="2"/>
      <c r="G10" s="2"/>
      <c r="H10" s="6" t="s">
        <v>84</v>
      </c>
      <c r="I10" s="2"/>
      <c r="J10" s="2"/>
      <c r="K10" s="2"/>
      <c r="L10" s="2"/>
      <c r="M10" s="2"/>
    </row>
    <row r="11" customFormat="false" ht="21.75" hidden="false" customHeight="true" outlineLevel="0" collapsed="false">
      <c r="A11" s="13" t="s">
        <v>85</v>
      </c>
      <c r="B11" s="13" t="s">
        <v>86</v>
      </c>
      <c r="C11" s="13" t="s">
        <v>87</v>
      </c>
      <c r="D11" s="13" t="s">
        <v>88</v>
      </c>
      <c r="E11" s="13" t="s">
        <v>89</v>
      </c>
      <c r="F11" s="13" t="s">
        <v>67</v>
      </c>
      <c r="G11" s="2"/>
      <c r="H11" s="13" t="s">
        <v>22</v>
      </c>
      <c r="I11" s="13" t="s">
        <v>90</v>
      </c>
      <c r="J11" s="13" t="s">
        <v>91</v>
      </c>
      <c r="K11" s="13" t="s">
        <v>92</v>
      </c>
      <c r="L11" s="13" t="s">
        <v>93</v>
      </c>
      <c r="M11" s="2"/>
    </row>
    <row r="12" customFormat="false" ht="16.5" hidden="false" customHeight="false" outlineLevel="0" collapsed="false">
      <c r="A12" s="33" t="n">
        <v>1</v>
      </c>
      <c r="B12" s="34" t="s">
        <v>94</v>
      </c>
      <c r="C12" s="35" t="n">
        <f aca="false">INDEX('Budget Plan'!$B$24:$M$24,1,$A12)</f>
        <v>10230</v>
      </c>
      <c r="D12" s="35" t="n">
        <f aca="false">SUMIFS(Expenses!$E$6:$E$405,Expenses!$A$6:$A$405,"&gt;="&amp;DATE($C$4,$A12,1),Expenses!$A$6:$A$405,"&lt;"&amp;DATE($C$4,$A12+1,1))</f>
        <v>0</v>
      </c>
      <c r="E12" s="36" t="n">
        <f aca="false">C12-D12</f>
        <v>10230</v>
      </c>
      <c r="F12" s="35" t="n">
        <f aca="false">SUMIFS(Revenue!$C$6:$C$205,Revenue!$A$6:$A$205,"&gt;="&amp;DATE($C$4,$A12,1),Revenue!$A$6:$A$205,"&lt;"&amp;DATE($C$4,$A12+1,1))</f>
        <v>0</v>
      </c>
      <c r="G12" s="2"/>
      <c r="H12" s="34" t="str">
        <f aca="false">IF('Budget Plan'!A8="","",'Budget Plan'!A8)</f>
        <v>Payroll &amp; contractors</v>
      </c>
      <c r="I12" s="35" t="n">
        <f aca="false">IF($H12="","",'Budget Plan'!N8)</f>
        <v>78000</v>
      </c>
      <c r="J12" s="35" t="n">
        <f aca="false">IF($H12="","",SUMIFS(Expenses!$E$6:$E$405,Expenses!$C$6:$C$405,$H12,Expenses!$A$6:$A$405,"&gt;="&amp;DATE($C$4,1,1),Expenses!$A$6:$A$405,"&lt;"&amp;DATE($C$4+1,1,1)))</f>
        <v>13000</v>
      </c>
      <c r="K12" s="35" t="n">
        <f aca="false">IF($H12="","",$I12-$J12)</f>
        <v>65000</v>
      </c>
      <c r="L12" s="37" t="n">
        <f aca="false">IF(OR($H12="",$I12=0),"",$J12/$I12)</f>
        <v>0.166666666666667</v>
      </c>
      <c r="M12" s="2"/>
    </row>
    <row r="13" customFormat="false" ht="16.5" hidden="false" customHeight="false" outlineLevel="0" collapsed="false">
      <c r="A13" s="33" t="n">
        <v>2</v>
      </c>
      <c r="B13" s="34" t="s">
        <v>95</v>
      </c>
      <c r="C13" s="35" t="n">
        <f aca="false">INDEX('Budget Plan'!$B$24:$M$24,1,$A13)</f>
        <v>10230</v>
      </c>
      <c r="D13" s="35" t="n">
        <f aca="false">SUMIFS(Expenses!$E$6:$E$405,Expenses!$A$6:$A$405,"&gt;="&amp;DATE($C$4,$A13,1),Expenses!$A$6:$A$405,"&lt;"&amp;DATE($C$4,$A13+1,1))</f>
        <v>0</v>
      </c>
      <c r="E13" s="36" t="n">
        <f aca="false">C13-D13</f>
        <v>10230</v>
      </c>
      <c r="F13" s="35" t="n">
        <f aca="false">SUMIFS(Revenue!$C$6:$C$205,Revenue!$A$6:$A$205,"&gt;="&amp;DATE($C$4,$A13,1),Revenue!$A$6:$A$205,"&lt;"&amp;DATE($C$4,$A13+1,1))</f>
        <v>0</v>
      </c>
      <c r="G13" s="2"/>
      <c r="H13" s="34" t="str">
        <f aca="false">IF('Budget Plan'!A9="","",'Budget Plan'!A9)</f>
        <v>Rent &amp; utilities</v>
      </c>
      <c r="I13" s="35" t="n">
        <f aca="false">IF($H13="","",'Budget Plan'!N9)</f>
        <v>14400</v>
      </c>
      <c r="J13" s="35" t="n">
        <f aca="false">IF($H13="","",SUMIFS(Expenses!$E$6:$E$405,Expenses!$C$6:$C$405,$H13,Expenses!$A$6:$A$405,"&gt;="&amp;DATE($C$4,1,1),Expenses!$A$6:$A$405,"&lt;"&amp;DATE($C$4+1,1,1)))</f>
        <v>2400</v>
      </c>
      <c r="K13" s="35" t="n">
        <f aca="false">IF($H13="","",$I13-$J13)</f>
        <v>12000</v>
      </c>
      <c r="L13" s="37" t="n">
        <f aca="false">IF(OR($H13="",$I13=0),"",$J13/$I13)</f>
        <v>0.166666666666667</v>
      </c>
      <c r="M13" s="2"/>
    </row>
    <row r="14" customFormat="false" ht="16.5" hidden="false" customHeight="false" outlineLevel="0" collapsed="false">
      <c r="A14" s="33" t="n">
        <v>3</v>
      </c>
      <c r="B14" s="34" t="s">
        <v>96</v>
      </c>
      <c r="C14" s="35" t="n">
        <f aca="false">INDEX('Budget Plan'!$B$24:$M$24,1,$A14)</f>
        <v>10230</v>
      </c>
      <c r="D14" s="35" t="n">
        <f aca="false">SUMIFS(Expenses!$E$6:$E$405,Expenses!$A$6:$A$405,"&gt;="&amp;DATE($C$4,$A14,1),Expenses!$A$6:$A$405,"&lt;"&amp;DATE($C$4,$A14+1,1))</f>
        <v>0</v>
      </c>
      <c r="E14" s="36" t="n">
        <f aca="false">C14-D14</f>
        <v>10230</v>
      </c>
      <c r="F14" s="35" t="n">
        <f aca="false">SUMIFS(Revenue!$C$6:$C$205,Revenue!$A$6:$A$205,"&gt;="&amp;DATE($C$4,$A14,1),Revenue!$A$6:$A$205,"&lt;"&amp;DATE($C$4,$A14+1,1))</f>
        <v>0</v>
      </c>
      <c r="G14" s="2"/>
      <c r="H14" s="34" t="str">
        <f aca="false">IF('Budget Plan'!A10="","",'Budget Plan'!A10)</f>
        <v>Software &amp; subscriptions</v>
      </c>
      <c r="I14" s="35" t="n">
        <f aca="false">IF($H14="","",'Budget Plan'!N10)</f>
        <v>3600</v>
      </c>
      <c r="J14" s="35" t="n">
        <f aca="false">IF($H14="","",SUMIFS(Expenses!$E$6:$E$405,Expenses!$C$6:$C$405,$H14,Expenses!$A$6:$A$405,"&gt;="&amp;DATE($C$4,1,1),Expenses!$A$6:$A$405,"&lt;"&amp;DATE($C$4+1,1,1)))</f>
        <v>240</v>
      </c>
      <c r="K14" s="35" t="n">
        <f aca="false">IF($H14="","",$I14-$J14)</f>
        <v>3360</v>
      </c>
      <c r="L14" s="37" t="n">
        <f aca="false">IF(OR($H14="",$I14=0),"",$J14/$I14)</f>
        <v>0.0666666666666667</v>
      </c>
      <c r="M14" s="2"/>
    </row>
    <row r="15" customFormat="false" ht="16.5" hidden="false" customHeight="false" outlineLevel="0" collapsed="false">
      <c r="A15" s="33" t="n">
        <v>4</v>
      </c>
      <c r="B15" s="34" t="s">
        <v>97</v>
      </c>
      <c r="C15" s="35" t="n">
        <f aca="false">INDEX('Budget Plan'!$B$24:$M$24,1,$A15)</f>
        <v>10230</v>
      </c>
      <c r="D15" s="35" t="n">
        <f aca="false">SUMIFS(Expenses!$E$6:$E$405,Expenses!$A$6:$A$405,"&gt;="&amp;DATE($C$4,$A15,1),Expenses!$A$6:$A$405,"&lt;"&amp;DATE($C$4,$A15+1,1))</f>
        <v>0</v>
      </c>
      <c r="E15" s="36" t="n">
        <f aca="false">C15-D15</f>
        <v>10230</v>
      </c>
      <c r="F15" s="35" t="n">
        <f aca="false">SUMIFS(Revenue!$C$6:$C$205,Revenue!$A$6:$A$205,"&gt;="&amp;DATE($C$4,$A15,1),Revenue!$A$6:$A$205,"&lt;"&amp;DATE($C$4,$A15+1,1))</f>
        <v>0</v>
      </c>
      <c r="G15" s="2"/>
      <c r="H15" s="34" t="str">
        <f aca="false">IF('Budget Plan'!A11="","",'Budget Plan'!A11)</f>
        <v>Marketing &amp; ads</v>
      </c>
      <c r="I15" s="35" t="n">
        <f aca="false">IF($H15="","",'Budget Plan'!N11)</f>
        <v>7200</v>
      </c>
      <c r="J15" s="35" t="n">
        <f aca="false">IF($H15="","",SUMIFS(Expenses!$E$6:$E$405,Expenses!$C$6:$C$405,$H15,Expenses!$A$6:$A$405,"&gt;="&amp;DATE($C$4,1,1),Expenses!$A$6:$A$405,"&lt;"&amp;DATE($C$4+1,1,1)))</f>
        <v>450</v>
      </c>
      <c r="K15" s="35" t="n">
        <f aca="false">IF($H15="","",$I15-$J15)</f>
        <v>6750</v>
      </c>
      <c r="L15" s="37" t="n">
        <f aca="false">IF(OR($H15="",$I15=0),"",$J15/$I15)</f>
        <v>0.0625</v>
      </c>
      <c r="M15" s="2"/>
    </row>
    <row r="16" customFormat="false" ht="16.5" hidden="false" customHeight="false" outlineLevel="0" collapsed="false">
      <c r="A16" s="33" t="n">
        <v>5</v>
      </c>
      <c r="B16" s="34" t="s">
        <v>27</v>
      </c>
      <c r="C16" s="35" t="n">
        <f aca="false">INDEX('Budget Plan'!$B$24:$M$24,1,$A16)</f>
        <v>10230</v>
      </c>
      <c r="D16" s="35" t="n">
        <f aca="false">SUMIFS(Expenses!$E$6:$E$405,Expenses!$A$6:$A$405,"&gt;="&amp;DATE($C$4,$A16,1),Expenses!$A$6:$A$405,"&lt;"&amp;DATE($C$4,$A16+1,1))</f>
        <v>0</v>
      </c>
      <c r="E16" s="36" t="n">
        <f aca="false">C16-D16</f>
        <v>10230</v>
      </c>
      <c r="F16" s="35" t="n">
        <f aca="false">SUMIFS(Revenue!$C$6:$C$205,Revenue!$A$6:$A$205,"&gt;="&amp;DATE($C$4,$A16,1),Revenue!$A$6:$A$205,"&lt;"&amp;DATE($C$4,$A16+1,1))</f>
        <v>0</v>
      </c>
      <c r="G16" s="2"/>
      <c r="H16" s="34" t="str">
        <f aca="false">IF('Budget Plan'!A12="","",'Budget Plan'!A12)</f>
        <v>Travel</v>
      </c>
      <c r="I16" s="35" t="n">
        <f aca="false">IF($H16="","",'Budget Plan'!N12)</f>
        <v>4800</v>
      </c>
      <c r="J16" s="35" t="n">
        <f aca="false">IF($H16="","",SUMIFS(Expenses!$E$6:$E$405,Expenses!$C$6:$C$405,$H16,Expenses!$A$6:$A$405,"&gt;="&amp;DATE($C$4,1,1),Expenses!$A$6:$A$405,"&lt;"&amp;DATE($C$4+1,1,1)))</f>
        <v>380</v>
      </c>
      <c r="K16" s="35" t="n">
        <f aca="false">IF($H16="","",$I16-$J16)</f>
        <v>4420</v>
      </c>
      <c r="L16" s="37" t="n">
        <f aca="false">IF(OR($H16="",$I16=0),"",$J16/$I16)</f>
        <v>0.0791666666666667</v>
      </c>
      <c r="M16" s="2"/>
    </row>
    <row r="17" customFormat="false" ht="16.5" hidden="false" customHeight="false" outlineLevel="0" collapsed="false">
      <c r="A17" s="33" t="n">
        <v>6</v>
      </c>
      <c r="B17" s="34" t="s">
        <v>98</v>
      </c>
      <c r="C17" s="35" t="n">
        <f aca="false">INDEX('Budget Plan'!$B$24:$M$24,1,$A17)</f>
        <v>10230</v>
      </c>
      <c r="D17" s="35" t="n">
        <f aca="false">SUMIFS(Expenses!$E$6:$E$405,Expenses!$A$6:$A$405,"&gt;="&amp;DATE($C$4,$A17,1),Expenses!$A$6:$A$405,"&lt;"&amp;DATE($C$4,$A17+1,1))</f>
        <v>0</v>
      </c>
      <c r="E17" s="36" t="n">
        <f aca="false">C17-D17</f>
        <v>10230</v>
      </c>
      <c r="F17" s="35" t="n">
        <f aca="false">SUMIFS(Revenue!$C$6:$C$205,Revenue!$A$6:$A$205,"&gt;="&amp;DATE($C$4,$A17,1),Revenue!$A$6:$A$205,"&lt;"&amp;DATE($C$4,$A17+1,1))</f>
        <v>0</v>
      </c>
      <c r="G17" s="2"/>
      <c r="H17" s="34" t="str">
        <f aca="false">IF('Budget Plan'!A13="","",'Budget Plan'!A13)</f>
        <v>Equipment</v>
      </c>
      <c r="I17" s="35" t="n">
        <f aca="false">IF($H17="","",'Budget Plan'!N13)</f>
        <v>3000</v>
      </c>
      <c r="J17" s="35" t="n">
        <f aca="false">IF($H17="","",SUMIFS(Expenses!$E$6:$E$405,Expenses!$C$6:$C$405,$H17,Expenses!$A$6:$A$405,"&gt;="&amp;DATE($C$4,1,1),Expenses!$A$6:$A$405,"&lt;"&amp;DATE($C$4+1,1,1)))</f>
        <v>899</v>
      </c>
      <c r="K17" s="35" t="n">
        <f aca="false">IF($H17="","",$I17-$J17)</f>
        <v>2101</v>
      </c>
      <c r="L17" s="37" t="n">
        <f aca="false">IF(OR($H17="",$I17=0),"",$J17/$I17)</f>
        <v>0.299666666666667</v>
      </c>
      <c r="M17" s="2"/>
    </row>
    <row r="18" customFormat="false" ht="16.5" hidden="false" customHeight="false" outlineLevel="0" collapsed="false">
      <c r="A18" s="33" t="n">
        <v>7</v>
      </c>
      <c r="B18" s="34" t="s">
        <v>99</v>
      </c>
      <c r="C18" s="35" t="n">
        <f aca="false">INDEX('Budget Plan'!$B$24:$M$24,1,$A18)</f>
        <v>10230</v>
      </c>
      <c r="D18" s="35" t="n">
        <f aca="false">SUMIFS(Expenses!$E$6:$E$405,Expenses!$A$6:$A$405,"&gt;="&amp;DATE($C$4,$A18,1),Expenses!$A$6:$A$405,"&lt;"&amp;DATE($C$4,$A18+1,1))</f>
        <v>8770</v>
      </c>
      <c r="E18" s="36" t="n">
        <f aca="false">C18-D18</f>
        <v>1460</v>
      </c>
      <c r="F18" s="35" t="n">
        <f aca="false">SUMIFS(Revenue!$C$6:$C$205,Revenue!$A$6:$A$205,"&gt;="&amp;DATE($C$4,$A18,1),Revenue!$A$6:$A$205,"&lt;"&amp;DATE($C$4,$A18+1,1))</f>
        <v>11600</v>
      </c>
      <c r="G18" s="2"/>
      <c r="H18" s="34" t="str">
        <f aca="false">IF('Budget Plan'!A14="","",'Budget Plan'!A14)</f>
        <v>Professional services</v>
      </c>
      <c r="I18" s="35" t="n">
        <f aca="false">IF($H18="","",'Budget Plan'!N14)</f>
        <v>4200</v>
      </c>
      <c r="J18" s="35" t="n">
        <f aca="false">IF($H18="","",SUMIFS(Expenses!$E$6:$E$405,Expenses!$C$6:$C$405,$H18,Expenses!$A$6:$A$405,"&gt;="&amp;DATE($C$4,1,1),Expenses!$A$6:$A$405,"&lt;"&amp;DATE($C$4+1,1,1)))</f>
        <v>0</v>
      </c>
      <c r="K18" s="35" t="n">
        <f aca="false">IF($H18="","",$I18-$J18)</f>
        <v>4200</v>
      </c>
      <c r="L18" s="37" t="n">
        <f aca="false">IF(OR($H18="",$I18=0),"",$J18/$I18)</f>
        <v>0</v>
      </c>
      <c r="M18" s="2"/>
    </row>
    <row r="19" customFormat="false" ht="16.5" hidden="false" customHeight="false" outlineLevel="0" collapsed="false">
      <c r="A19" s="33" t="n">
        <v>8</v>
      </c>
      <c r="B19" s="34" t="s">
        <v>100</v>
      </c>
      <c r="C19" s="35" t="n">
        <f aca="false">INDEX('Budget Plan'!$B$24:$M$24,1,$A19)</f>
        <v>10230</v>
      </c>
      <c r="D19" s="35" t="n">
        <f aca="false">SUMIFS(Expenses!$E$6:$E$405,Expenses!$A$6:$A$405,"&gt;="&amp;DATE($C$4,$A19,1),Expenses!$A$6:$A$405,"&lt;"&amp;DATE($C$4,$A19+1,1))</f>
        <v>8599</v>
      </c>
      <c r="E19" s="36" t="n">
        <f aca="false">C19-D19</f>
        <v>1631</v>
      </c>
      <c r="F19" s="35" t="n">
        <f aca="false">SUMIFS(Revenue!$C$6:$C$205,Revenue!$A$6:$A$205,"&gt;="&amp;DATE($C$4,$A19,1),Revenue!$A$6:$A$205,"&lt;"&amp;DATE($C$4,$A19+1,1))</f>
        <v>10950</v>
      </c>
      <c r="G19" s="2"/>
      <c r="H19" s="34" t="str">
        <f aca="false">IF('Budget Plan'!A15="","",'Budget Plan'!A15)</f>
        <v>Insurance</v>
      </c>
      <c r="I19" s="35" t="n">
        <f aca="false">IF($H19="","",'Budget Plan'!N15)</f>
        <v>2160</v>
      </c>
      <c r="J19" s="35" t="n">
        <f aca="false">IF($H19="","",SUMIFS(Expenses!$E$6:$E$405,Expenses!$C$6:$C$405,$H19,Expenses!$A$6:$A$405,"&gt;="&amp;DATE($C$4,1,1),Expenses!$A$6:$A$405,"&lt;"&amp;DATE($C$4+1,1,1)))</f>
        <v>0</v>
      </c>
      <c r="K19" s="35" t="n">
        <f aca="false">IF($H19="","",$I19-$J19)</f>
        <v>2160</v>
      </c>
      <c r="L19" s="37" t="n">
        <f aca="false">IF(OR($H19="",$I19=0),"",$J19/$I19)</f>
        <v>0</v>
      </c>
      <c r="M19" s="2"/>
    </row>
    <row r="20" customFormat="false" ht="16.5" hidden="false" customHeight="false" outlineLevel="0" collapsed="false">
      <c r="A20" s="33" t="n">
        <v>9</v>
      </c>
      <c r="B20" s="34" t="s">
        <v>101</v>
      </c>
      <c r="C20" s="35" t="n">
        <f aca="false">INDEX('Budget Plan'!$B$24:$M$24,1,$A20)</f>
        <v>10230</v>
      </c>
      <c r="D20" s="35" t="n">
        <f aca="false">SUMIFS(Expenses!$E$6:$E$405,Expenses!$A$6:$A$405,"&gt;="&amp;DATE($C$4,$A20,1),Expenses!$A$6:$A$405,"&lt;"&amp;DATE($C$4,$A20+1,1))</f>
        <v>0</v>
      </c>
      <c r="E20" s="36" t="n">
        <f aca="false">C20-D20</f>
        <v>10230</v>
      </c>
      <c r="F20" s="35" t="n">
        <f aca="false">SUMIFS(Revenue!$C$6:$C$205,Revenue!$A$6:$A$205,"&gt;="&amp;DATE($C$4,$A20,1),Revenue!$A$6:$A$205,"&lt;"&amp;DATE($C$4,$A20+1,1))</f>
        <v>0</v>
      </c>
      <c r="G20" s="2"/>
      <c r="H20" s="34" t="str">
        <f aca="false">IF('Budget Plan'!A16="","",'Budget Plan'!A16)</f>
        <v>Taxes &amp; fees</v>
      </c>
      <c r="I20" s="35" t="n">
        <f aca="false">IF($H20="","",'Budget Plan'!N16)</f>
        <v>3000</v>
      </c>
      <c r="J20" s="35" t="n">
        <f aca="false">IF($H20="","",SUMIFS(Expenses!$E$6:$E$405,Expenses!$C$6:$C$405,$H20,Expenses!$A$6:$A$405,"&gt;="&amp;DATE($C$4,1,1),Expenses!$A$6:$A$405,"&lt;"&amp;DATE($C$4+1,1,1)))</f>
        <v>0</v>
      </c>
      <c r="K20" s="35" t="n">
        <f aca="false">IF($H20="","",$I20-$J20)</f>
        <v>3000</v>
      </c>
      <c r="L20" s="37" t="n">
        <f aca="false">IF(OR($H20="",$I20=0),"",$J20/$I20)</f>
        <v>0</v>
      </c>
      <c r="M20" s="2"/>
    </row>
    <row r="21" customFormat="false" ht="16.5" hidden="false" customHeight="false" outlineLevel="0" collapsed="false">
      <c r="A21" s="33" t="n">
        <v>10</v>
      </c>
      <c r="B21" s="34" t="s">
        <v>102</v>
      </c>
      <c r="C21" s="35" t="n">
        <f aca="false">INDEX('Budget Plan'!$B$24:$M$24,1,$A21)</f>
        <v>10230</v>
      </c>
      <c r="D21" s="35" t="n">
        <f aca="false">SUMIFS(Expenses!$E$6:$E$405,Expenses!$A$6:$A$405,"&gt;="&amp;DATE($C$4,$A21,1),Expenses!$A$6:$A$405,"&lt;"&amp;DATE($C$4,$A21+1,1))</f>
        <v>0</v>
      </c>
      <c r="E21" s="36" t="n">
        <f aca="false">C21-D21</f>
        <v>10230</v>
      </c>
      <c r="F21" s="35" t="n">
        <f aca="false">SUMIFS(Revenue!$C$6:$C$205,Revenue!$A$6:$A$205,"&gt;="&amp;DATE($C$4,$A21,1),Revenue!$A$6:$A$205,"&lt;"&amp;DATE($C$4,$A21+1,1))</f>
        <v>0</v>
      </c>
      <c r="G21" s="2"/>
      <c r="H21" s="34" t="str">
        <f aca="false">IF('Budget Plan'!A17="","",'Budget Plan'!A17)</f>
        <v>Other</v>
      </c>
      <c r="I21" s="35" t="n">
        <f aca="false">IF($H21="","",'Budget Plan'!N17)</f>
        <v>2400</v>
      </c>
      <c r="J21" s="35" t="n">
        <f aca="false">IF($H21="","",SUMIFS(Expenses!$E$6:$E$405,Expenses!$C$6:$C$405,$H21,Expenses!$A$6:$A$405,"&gt;="&amp;DATE($C$4,1,1),Expenses!$A$6:$A$405,"&lt;"&amp;DATE($C$4+1,1,1)))</f>
        <v>0</v>
      </c>
      <c r="K21" s="35" t="n">
        <f aca="false">IF($H21="","",$I21-$J21)</f>
        <v>2400</v>
      </c>
      <c r="L21" s="37" t="n">
        <f aca="false">IF(OR($H21="",$I21=0),"",$J21/$I21)</f>
        <v>0</v>
      </c>
      <c r="M21" s="2"/>
    </row>
    <row r="22" customFormat="false" ht="16.5" hidden="false" customHeight="false" outlineLevel="0" collapsed="false">
      <c r="A22" s="33" t="n">
        <v>11</v>
      </c>
      <c r="B22" s="34" t="s">
        <v>103</v>
      </c>
      <c r="C22" s="35" t="n">
        <f aca="false">INDEX('Budget Plan'!$B$24:$M$24,1,$A22)</f>
        <v>10230</v>
      </c>
      <c r="D22" s="35" t="n">
        <f aca="false">SUMIFS(Expenses!$E$6:$E$405,Expenses!$A$6:$A$405,"&gt;="&amp;DATE($C$4,$A22,1),Expenses!$A$6:$A$405,"&lt;"&amp;DATE($C$4,$A22+1,1))</f>
        <v>0</v>
      </c>
      <c r="E22" s="36" t="n">
        <f aca="false">C22-D22</f>
        <v>10230</v>
      </c>
      <c r="F22" s="35" t="n">
        <f aca="false">SUMIFS(Revenue!$C$6:$C$205,Revenue!$A$6:$A$205,"&gt;="&amp;DATE($C$4,$A22,1),Revenue!$A$6:$A$205,"&lt;"&amp;DATE($C$4,$A22+1,1))</f>
        <v>0</v>
      </c>
      <c r="G22" s="2"/>
      <c r="H22" s="38" t="str">
        <f aca="false">IF('Budget Plan'!A18="","",'Budget Plan'!A18)</f>
        <v/>
      </c>
      <c r="I22" s="39" t="str">
        <f aca="false">IF($H22="","",'Budget Plan'!N18)</f>
        <v/>
      </c>
      <c r="J22" s="39" t="str">
        <f aca="false">IF($H22="","",SUMIFS(Expenses!$E$6:$E$405,Expenses!$C$6:$C$405,$H22,Expenses!$A$6:$A$405,"&gt;="&amp;DATE($C$4,1,1),Expenses!$A$6:$A$405,"&lt;"&amp;DATE($C$4+1,1,1)))</f>
        <v/>
      </c>
      <c r="K22" s="39" t="str">
        <f aca="false">IF($H22="","",$I22-$J22)</f>
        <v/>
      </c>
      <c r="L22" s="40" t="str">
        <f aca="false">IF(OR($H22="",$I22=0),"",$J22/$I22)</f>
        <v/>
      </c>
      <c r="M22" s="2"/>
    </row>
    <row r="23" customFormat="false" ht="16.5" hidden="false" customHeight="false" outlineLevel="0" collapsed="false">
      <c r="A23" s="33" t="n">
        <v>12</v>
      </c>
      <c r="B23" s="34" t="s">
        <v>104</v>
      </c>
      <c r="C23" s="35" t="n">
        <f aca="false">INDEX('Budget Plan'!$B$24:$M$24,1,$A23)</f>
        <v>10230</v>
      </c>
      <c r="D23" s="35" t="n">
        <f aca="false">SUMIFS(Expenses!$E$6:$E$405,Expenses!$A$6:$A$405,"&gt;="&amp;DATE($C$4,$A23,1),Expenses!$A$6:$A$405,"&lt;"&amp;DATE($C$4,$A23+1,1))</f>
        <v>0</v>
      </c>
      <c r="E23" s="36" t="n">
        <f aca="false">C23-D23</f>
        <v>10230</v>
      </c>
      <c r="F23" s="35" t="n">
        <f aca="false">SUMIFS(Revenue!$C$6:$C$205,Revenue!$A$6:$A$205,"&gt;="&amp;DATE($C$4,$A23,1),Revenue!$A$6:$A$205,"&lt;"&amp;DATE($C$4,$A23+1,1))</f>
        <v>0</v>
      </c>
      <c r="G23" s="2"/>
      <c r="H23" s="38" t="str">
        <f aca="false">IF('Budget Plan'!A19="","",'Budget Plan'!A19)</f>
        <v/>
      </c>
      <c r="I23" s="39" t="str">
        <f aca="false">IF($H23="","",'Budget Plan'!N19)</f>
        <v/>
      </c>
      <c r="J23" s="39" t="str">
        <f aca="false">IF($H23="","",SUMIFS(Expenses!$E$6:$E$405,Expenses!$C$6:$C$405,$H23,Expenses!$A$6:$A$405,"&gt;="&amp;DATE($C$4,1,1),Expenses!$A$6:$A$405,"&lt;"&amp;DATE($C$4+1,1,1)))</f>
        <v/>
      </c>
      <c r="K23" s="39" t="str">
        <f aca="false">IF($H23="","",$I23-$J23)</f>
        <v/>
      </c>
      <c r="L23" s="40" t="str">
        <f aca="false">IF(OR($H23="",$I23=0),"",$J23/$I23)</f>
        <v/>
      </c>
      <c r="M23" s="2"/>
    </row>
    <row r="24" customFormat="false" ht="16.5" hidden="false" customHeight="false" outlineLevel="0" collapsed="false">
      <c r="A24" s="2"/>
      <c r="B24" s="2"/>
      <c r="C24" s="2"/>
      <c r="D24" s="2"/>
      <c r="E24" s="2"/>
      <c r="F24" s="2"/>
      <c r="G24" s="2"/>
      <c r="H24" s="38" t="str">
        <f aca="false">IF('Budget Plan'!A20="","",'Budget Plan'!A20)</f>
        <v/>
      </c>
      <c r="I24" s="39" t="str">
        <f aca="false">IF($H24="","",'Budget Plan'!N20)</f>
        <v/>
      </c>
      <c r="J24" s="39" t="str">
        <f aca="false">IF($H24="","",SUMIFS(Expenses!$E$6:$E$405,Expenses!$C$6:$C$405,$H24,Expenses!$A$6:$A$405,"&gt;="&amp;DATE($C$4,1,1),Expenses!$A$6:$A$405,"&lt;"&amp;DATE($C$4+1,1,1)))</f>
        <v/>
      </c>
      <c r="K24" s="39" t="str">
        <f aca="false">IF($H24="","",$I24-$J24)</f>
        <v/>
      </c>
      <c r="L24" s="40" t="str">
        <f aca="false">IF(OR($H24="",$I24=0),"",$J24/$I24)</f>
        <v/>
      </c>
      <c r="M24" s="2"/>
    </row>
    <row r="25" customFormat="false" ht="16.5" hidden="false" customHeight="false" outlineLevel="0" collapsed="false">
      <c r="A25" s="2"/>
      <c r="B25" s="6" t="s">
        <v>105</v>
      </c>
      <c r="C25" s="2"/>
      <c r="D25" s="2"/>
      <c r="E25" s="2"/>
      <c r="F25" s="2"/>
      <c r="G25" s="2"/>
      <c r="H25" s="38" t="str">
        <f aca="false">IF('Budget Plan'!A21="","",'Budget Plan'!A21)</f>
        <v/>
      </c>
      <c r="I25" s="39" t="str">
        <f aca="false">IF($H25="","",'Budget Plan'!N21)</f>
        <v/>
      </c>
      <c r="J25" s="39" t="str">
        <f aca="false">IF($H25="","",SUMIFS(Expenses!$E$6:$E$405,Expenses!$C$6:$C$405,$H25,Expenses!$A$6:$A$405,"&gt;="&amp;DATE($C$4,1,1),Expenses!$A$6:$A$405,"&lt;"&amp;DATE($C$4+1,1,1)))</f>
        <v/>
      </c>
      <c r="K25" s="39" t="str">
        <f aca="false">IF($H25="","",$I25-$J25)</f>
        <v/>
      </c>
      <c r="L25" s="40" t="str">
        <f aca="false">IF(OR($H25="",$I25=0),"",$J25/$I25)</f>
        <v/>
      </c>
      <c r="M25" s="2"/>
    </row>
    <row r="26" customFormat="false" ht="21.75" hidden="false" customHeight="true" outlineLevel="0" collapsed="false">
      <c r="A26" s="2"/>
      <c r="B26" s="13" t="s">
        <v>106</v>
      </c>
      <c r="C26" s="13" t="s">
        <v>87</v>
      </c>
      <c r="D26" s="13" t="s">
        <v>88</v>
      </c>
      <c r="E26" s="13" t="s">
        <v>67</v>
      </c>
      <c r="F26" s="13" t="s">
        <v>107</v>
      </c>
      <c r="G26" s="2"/>
      <c r="H26" s="38" t="str">
        <f aca="false">IF('Budget Plan'!A22="","",'Budget Plan'!A22)</f>
        <v/>
      </c>
      <c r="I26" s="39" t="str">
        <f aca="false">IF($H26="","",'Budget Plan'!N22)</f>
        <v/>
      </c>
      <c r="J26" s="39" t="str">
        <f aca="false">IF($H26="","",SUMIFS(Expenses!$E$6:$E$405,Expenses!$C$6:$C$405,$H26,Expenses!$A$6:$A$405,"&gt;="&amp;DATE($C$4,1,1),Expenses!$A$6:$A$405,"&lt;"&amp;DATE($C$4+1,1,1)))</f>
        <v/>
      </c>
      <c r="K26" s="39" t="str">
        <f aca="false">IF($H26="","",$I26-$J26)</f>
        <v/>
      </c>
      <c r="L26" s="40" t="str">
        <f aca="false">IF(OR($H26="",$I26=0),"",$J26/$I26)</f>
        <v/>
      </c>
      <c r="M26" s="2"/>
    </row>
    <row r="27" customFormat="false" ht="16.5" hidden="false" customHeight="false" outlineLevel="0" collapsed="false">
      <c r="A27" s="2"/>
      <c r="B27" s="34" t="s">
        <v>108</v>
      </c>
      <c r="C27" s="35" t="n">
        <f aca="false">SUM(C12:C14)</f>
        <v>30690</v>
      </c>
      <c r="D27" s="35" t="n">
        <f aca="false">SUM(D12:D14)</f>
        <v>0</v>
      </c>
      <c r="E27" s="35" t="n">
        <f aca="false">SUM(F12:F14)</f>
        <v>0</v>
      </c>
      <c r="F27" s="36" t="n">
        <f aca="false">E27-D27</f>
        <v>0</v>
      </c>
      <c r="G27" s="2"/>
      <c r="H27" s="38" t="str">
        <f aca="false">IF('Budget Plan'!A23="","",'Budget Plan'!A23)</f>
        <v/>
      </c>
      <c r="I27" s="39" t="str">
        <f aca="false">IF($H27="","",'Budget Plan'!N23)</f>
        <v/>
      </c>
      <c r="J27" s="39" t="str">
        <f aca="false">IF($H27="","",SUMIFS(Expenses!$E$6:$E$405,Expenses!$C$6:$C$405,$H27,Expenses!$A$6:$A$405,"&gt;="&amp;DATE($C$4,1,1),Expenses!$A$6:$A$405,"&lt;"&amp;DATE($C$4+1,1,1)))</f>
        <v/>
      </c>
      <c r="K27" s="39" t="str">
        <f aca="false">IF($H27="","",$I27-$J27)</f>
        <v/>
      </c>
      <c r="L27" s="40" t="str">
        <f aca="false">IF(OR($H27="",$I27=0),"",$J27/$I27)</f>
        <v/>
      </c>
      <c r="M27" s="2"/>
    </row>
    <row r="28" customFormat="false" ht="16.5" hidden="false" customHeight="false" outlineLevel="0" collapsed="false">
      <c r="A28" s="2"/>
      <c r="B28" s="34" t="s">
        <v>109</v>
      </c>
      <c r="C28" s="35" t="n">
        <f aca="false">SUM(C15:C17)</f>
        <v>30690</v>
      </c>
      <c r="D28" s="35" t="n">
        <f aca="false">SUM(D15:D17)</f>
        <v>0</v>
      </c>
      <c r="E28" s="35" t="n">
        <f aca="false">SUM(F15:F17)</f>
        <v>0</v>
      </c>
      <c r="F28" s="36" t="n">
        <f aca="false">E28-D28</f>
        <v>0</v>
      </c>
      <c r="G28" s="2"/>
      <c r="H28" s="2"/>
      <c r="I28" s="2"/>
      <c r="J28" s="2"/>
      <c r="K28" s="2"/>
      <c r="L28" s="2"/>
      <c r="M28" s="2"/>
    </row>
    <row r="29" customFormat="false" ht="15.75" hidden="false" customHeight="true" outlineLevel="0" collapsed="false">
      <c r="A29" s="2"/>
      <c r="B29" s="34" t="s">
        <v>110</v>
      </c>
      <c r="C29" s="35" t="n">
        <f aca="false">SUM(C18:C20)</f>
        <v>30690</v>
      </c>
      <c r="D29" s="35" t="n">
        <f aca="false">SUM(D18:D20)</f>
        <v>17369</v>
      </c>
      <c r="E29" s="35" t="n">
        <f aca="false">SUM(F18:F20)</f>
        <v>22550</v>
      </c>
      <c r="F29" s="36" t="n">
        <f aca="false">E29-D29</f>
        <v>5181</v>
      </c>
      <c r="G29" s="2"/>
      <c r="H29" s="41" t="s">
        <v>111</v>
      </c>
      <c r="I29" s="42"/>
      <c r="J29" s="42"/>
      <c r="K29" s="42"/>
      <c r="L29" s="42"/>
      <c r="M29" s="2"/>
    </row>
    <row r="30" customFormat="false" ht="24" hidden="false" customHeight="true" outlineLevel="0" collapsed="false">
      <c r="A30" s="2"/>
      <c r="B30" s="34" t="s">
        <v>112</v>
      </c>
      <c r="C30" s="35" t="n">
        <f aca="false">SUM(C21:C23)</f>
        <v>30690</v>
      </c>
      <c r="D30" s="35" t="n">
        <f aca="false">SUM(D21:D23)</f>
        <v>0</v>
      </c>
      <c r="E30" s="35" t="n">
        <f aca="false">SUM(F21:F23)</f>
        <v>0</v>
      </c>
      <c r="F30" s="36" t="n">
        <f aca="false">E30-D30</f>
        <v>0</v>
      </c>
      <c r="G30" s="2"/>
      <c r="H30" s="43" t="str">
        <f aca="true">IFERROR(IF($C$4=YEAR(TODAY()),TEXT((TODAY()-DATE($C$4,1,1)+1)/(DATE($C$4+1,1,1)-DATE($C$4,1,1)),"0%")&amp;" of the year gone — "&amp;TEXT($D$7/'Budget Plan'!$N$24,"0%")&amp;" of the annual budget spent.","You spent "&amp;TEXT($D$7/'Budget Plan'!$N$24,"0%")&amp;" of the annual plan."),"")</f>
        <v>61% of the year gone — 14% of the annual budget spent.</v>
      </c>
      <c r="I30" s="43"/>
      <c r="J30" s="43"/>
      <c r="K30" s="43"/>
      <c r="L30" s="43"/>
      <c r="M30" s="2"/>
    </row>
    <row r="31" customFormat="false" ht="24" hidden="false" customHeight="true" outlineLevel="0" collapsed="false">
      <c r="A31" s="2"/>
      <c r="B31" s="2"/>
      <c r="C31" s="2"/>
      <c r="D31" s="2"/>
      <c r="E31" s="2"/>
      <c r="F31" s="2"/>
      <c r="G31" s="2"/>
      <c r="H31" s="43" t="str">
        <f aca="true">IFERROR(IF(OR($C$4&lt;&gt;YEAR(TODAY()),$D$7=0),"","On pace to spend "&amp;TEXT($D$7/MONTH(TODAY())*12,"$#,##0")&amp;" of the "&amp;TEXT('Budget Plan'!$N$24,"$#,##0")&amp;" plan."),"")</f>
        <v>On pace to spend $26,054 of the $122,760 plan.</v>
      </c>
      <c r="I31" s="43"/>
      <c r="J31" s="43"/>
      <c r="K31" s="43"/>
      <c r="L31" s="43"/>
      <c r="M31" s="2"/>
    </row>
    <row r="32" customFormat="false" ht="24" hidden="false" customHeight="true" outlineLevel="0" collapsed="false">
      <c r="A32" s="2"/>
      <c r="B32" s="2"/>
      <c r="C32" s="2"/>
      <c r="D32" s="2"/>
      <c r="E32" s="2"/>
      <c r="F32" s="2"/>
      <c r="G32" s="2"/>
      <c r="H32" s="43" t="str">
        <f aca="false">IFERROR(IF(MAX($J$12:$J$27)=0,"","Largest cost: "&amp;INDEX($H$12:$H$27,MATCH(MAX($J$12:$J$27),$J$12:$J$27,0))&amp;" ("&amp;TEXT(MAX($J$12:$J$27),"$#,##0")&amp;" YTD)."),"")</f>
        <v>Largest cost: Payroll &amp; contractors ($13,000 YTD).</v>
      </c>
      <c r="I32" s="43"/>
      <c r="J32" s="43"/>
      <c r="K32" s="43"/>
      <c r="L32" s="43"/>
      <c r="M32" s="2"/>
    </row>
    <row r="33" customFormat="false" ht="24" hidden="false" customHeight="true" outlineLevel="0" collapsed="false">
      <c r="A33" s="2"/>
      <c r="B33" s="2"/>
      <c r="C33" s="2"/>
      <c r="D33" s="2"/>
      <c r="E33" s="2"/>
      <c r="F33" s="2"/>
      <c r="G33" s="2"/>
      <c r="H33" s="43" t="str">
        <f aca="false">IFERROR(IF($B$7=0,"","You keep "&amp;TEXT($G$7/$B$7,"$0.00")&amp;" of every revenue dollar."),"")</f>
        <v>You keep $0.23 of every revenue dollar.</v>
      </c>
      <c r="I33" s="43"/>
      <c r="J33" s="43"/>
      <c r="K33" s="43"/>
      <c r="L33" s="43"/>
      <c r="M33" s="2"/>
    </row>
    <row r="34" customFormat="false" ht="16.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customFormat="false" ht="16.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customFormat="false" ht="16.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customFormat="false" ht="16.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customFormat="false" ht="16.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customFormat="false" ht="16.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customFormat="false" ht="16.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customFormat="false" ht="16.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customFormat="false" ht="16.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customFormat="false" ht="16.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customFormat="false" ht="16.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customFormat="false" ht="16.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customFormat="false" ht="16.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customFormat="false" ht="16.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customFormat="false" ht="16.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customFormat="false" ht="16.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customFormat="false" ht="16.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customFormat="false" ht="16.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customFormat="false" ht="16.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</sheetData>
  <sheetProtection sheet="true" formatCells="false" formatColumns="false" formatRows="false"/>
  <mergeCells count="14">
    <mergeCell ref="A1:N1"/>
    <mergeCell ref="A2:N2"/>
    <mergeCell ref="B6:C6"/>
    <mergeCell ref="D6:E6"/>
    <mergeCell ref="G6:H6"/>
    <mergeCell ref="J6:L6"/>
    <mergeCell ref="B7:C7"/>
    <mergeCell ref="D7:E7"/>
    <mergeCell ref="G7:H7"/>
    <mergeCell ref="J7:L7"/>
    <mergeCell ref="H30:L30"/>
    <mergeCell ref="H31:L31"/>
    <mergeCell ref="H32:L32"/>
    <mergeCell ref="H33:L33"/>
  </mergeCells>
  <conditionalFormatting sqref="E12:E23">
    <cfRule type="cellIs" priority="2" operator="lessThan" aboveAverage="0" equalAverage="0" bottom="0" percent="0" rank="0" text="" dxfId="5">
      <formula>0</formula>
    </cfRule>
  </conditionalFormatting>
  <conditionalFormatting sqref="L12:L27">
    <cfRule type="dataBar" priority="3">
      <dataBar showValue="1" minLength="10" maxLength="90">
        <cfvo type="num" val="0"/>
        <cfvo type="num" val="1"/>
        <color rgb="FFB58A2A"/>
      </dataBar>
      <extLst>
        <ext xmlns:x14="http://schemas.microsoft.com/office/spreadsheetml/2009/9/main" uri="{B025F937-C7B1-47D3-B67F-A62EFF666E3E}">
          <x14:id>{AAD394EF-51D6-4EFA-8BAB-A45B3EC8DF76}</x14:id>
        </ext>
      </extLst>
    </cfRule>
  </conditionalFormatting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D394EF-51D6-4EFA-8BAB-A45B3EC8DF7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58A2A"/>
              <x14:axisColor rgb="FF000000"/>
            </x14:dataBar>
          </x14:cfRule>
          <xm:sqref>L12:L27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2026-08-12T06:29:07Z</dcterms:created>
  <dc:creator>openpyxl</dc:creator>
  <dc:description/>
  <dc:language>en-US</dc:language>
  <cp:lastModifiedBy/>
  <dcterms:modified xsi:type="dcterms:W3CDTF">2026-08-12T06:29:24Z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